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University\Year 6\Sem 1\Master's Thesis\"/>
    </mc:Choice>
  </mc:AlternateContent>
  <xr:revisionPtr revIDLastSave="0" documentId="13_ncr:1_{934258A6-92BA-4E9C-813C-A5AB6218451F}" xr6:coauthVersionLast="45" xr6:coauthVersionMax="47" xr10:uidLastSave="{00000000-0000-0000-0000-000000000000}"/>
  <bookViews>
    <workbookView xWindow="3432" yWindow="660" windowWidth="30960" windowHeight="12660" xr2:uid="{C414D57D-29A7-4AF0-B2AF-851447B530A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6" i="1" l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15" i="1"/>
  <c r="P79" i="1"/>
  <c r="Q47" i="2" l="1"/>
  <c r="Q48" i="2"/>
  <c r="Q49" i="2"/>
  <c r="P47" i="2"/>
  <c r="P48" i="2"/>
  <c r="P49" i="2"/>
  <c r="N47" i="2"/>
  <c r="N48" i="2"/>
  <c r="N49" i="2"/>
  <c r="P41" i="2"/>
  <c r="Q41" i="2" s="1"/>
  <c r="N41" i="2"/>
  <c r="P40" i="2"/>
  <c r="Q40" i="2" s="1"/>
  <c r="N40" i="2"/>
  <c r="Q39" i="2"/>
  <c r="P39" i="2"/>
  <c r="N39" i="2"/>
  <c r="P38" i="2"/>
  <c r="Q38" i="2" s="1"/>
  <c r="N38" i="2"/>
  <c r="P37" i="2"/>
  <c r="Q37" i="2" s="1"/>
  <c r="N37" i="2"/>
  <c r="Q36" i="2"/>
  <c r="P36" i="2"/>
  <c r="N36" i="2"/>
  <c r="P35" i="2"/>
  <c r="Q35" i="2" s="1"/>
  <c r="N35" i="2"/>
  <c r="P34" i="2"/>
  <c r="Q34" i="2" s="1"/>
  <c r="N34" i="2"/>
  <c r="P57" i="2"/>
  <c r="Q57" i="2" s="1"/>
  <c r="N57" i="2"/>
  <c r="P56" i="2"/>
  <c r="Q56" i="2" s="1"/>
  <c r="N56" i="2"/>
  <c r="P55" i="2"/>
  <c r="Q55" i="2" s="1"/>
  <c r="N55" i="2"/>
  <c r="P54" i="2"/>
  <c r="Q54" i="2" s="1"/>
  <c r="N54" i="2"/>
  <c r="P53" i="2"/>
  <c r="Q53" i="2" s="1"/>
  <c r="N53" i="2"/>
  <c r="P52" i="2"/>
  <c r="Q52" i="2" s="1"/>
  <c r="N52" i="2"/>
  <c r="P51" i="2"/>
  <c r="Q51" i="2" s="1"/>
  <c r="N51" i="2"/>
  <c r="P50" i="2"/>
  <c r="Q50" i="2" s="1"/>
  <c r="N50" i="2"/>
  <c r="P17" i="2"/>
  <c r="Q17" i="2" s="1"/>
  <c r="N17" i="2"/>
  <c r="P16" i="2"/>
  <c r="Q16" i="2" s="1"/>
  <c r="N16" i="2"/>
  <c r="P28" i="2"/>
  <c r="Q28" i="2" s="1"/>
  <c r="N28" i="2"/>
  <c r="P27" i="2"/>
  <c r="Q27" i="2" s="1"/>
  <c r="N27" i="2"/>
  <c r="P26" i="2"/>
  <c r="Q26" i="2" s="1"/>
  <c r="N26" i="2"/>
  <c r="P25" i="2"/>
  <c r="Q25" i="2" s="1"/>
  <c r="N25" i="2"/>
  <c r="P24" i="2"/>
  <c r="Q24" i="2" s="1"/>
  <c r="N24" i="2"/>
  <c r="P23" i="2"/>
  <c r="Q23" i="2" s="1"/>
  <c r="N23" i="2"/>
  <c r="P22" i="2"/>
  <c r="Q22" i="2" s="1"/>
  <c r="N22" i="2"/>
  <c r="P21" i="2"/>
  <c r="Q21" i="2" s="1"/>
  <c r="N21" i="2"/>
  <c r="P12" i="2"/>
  <c r="Q12" i="2" s="1"/>
  <c r="N12" i="2"/>
  <c r="P11" i="2"/>
  <c r="Q11" i="2" s="1"/>
  <c r="N11" i="2"/>
  <c r="P10" i="2"/>
  <c r="Q10" i="2" s="1"/>
  <c r="N10" i="2"/>
  <c r="P9" i="2"/>
  <c r="Q9" i="2" s="1"/>
  <c r="N9" i="2"/>
  <c r="P8" i="2"/>
  <c r="Q8" i="2" s="1"/>
  <c r="N8" i="2"/>
  <c r="P7" i="2"/>
  <c r="Q7" i="2" s="1"/>
  <c r="N7" i="2"/>
  <c r="P6" i="2"/>
  <c r="Q6" i="2" s="1"/>
  <c r="N6" i="2"/>
  <c r="P5" i="2"/>
  <c r="Q5" i="2" s="1"/>
  <c r="N5" i="2"/>
  <c r="O164" i="1"/>
  <c r="P164" i="1"/>
  <c r="Q164" i="1" s="1"/>
  <c r="O165" i="1"/>
  <c r="P165" i="1"/>
  <c r="Q165" i="1" s="1"/>
  <c r="O166" i="1"/>
  <c r="P166" i="1"/>
  <c r="Q166" i="1" s="1"/>
  <c r="Q163" i="1"/>
  <c r="O163" i="1"/>
  <c r="P163" i="1"/>
  <c r="P168" i="1"/>
  <c r="Q168" i="1" s="1"/>
  <c r="P169" i="1"/>
  <c r="Q169" i="1" s="1"/>
  <c r="P170" i="1"/>
  <c r="Q170" i="1" s="1"/>
  <c r="P167" i="1"/>
  <c r="Q167" i="1" s="1"/>
  <c r="P157" i="1"/>
  <c r="Q157" i="1" s="1"/>
  <c r="O170" i="1"/>
  <c r="O169" i="1"/>
  <c r="O168" i="1"/>
  <c r="O167" i="1"/>
  <c r="P159" i="1"/>
  <c r="Q159" i="1" s="1"/>
  <c r="O159" i="1"/>
  <c r="P158" i="1"/>
  <c r="Q158" i="1" s="1"/>
  <c r="O158" i="1"/>
  <c r="O157" i="1"/>
  <c r="P156" i="1"/>
  <c r="Q156" i="1" s="1"/>
  <c r="O156" i="1"/>
  <c r="P155" i="1"/>
  <c r="Q155" i="1" s="1"/>
  <c r="O155" i="1"/>
  <c r="P154" i="1"/>
  <c r="Q154" i="1" s="1"/>
  <c r="O154" i="1"/>
  <c r="O146" i="1"/>
  <c r="P146" i="1"/>
  <c r="Q146" i="1" s="1"/>
  <c r="O145" i="1"/>
  <c r="P145" i="1"/>
  <c r="Q145" i="1"/>
  <c r="O142" i="1"/>
  <c r="P142" i="1"/>
  <c r="Q142" i="1" s="1"/>
  <c r="O143" i="1"/>
  <c r="P143" i="1"/>
  <c r="Q143" i="1" s="1"/>
  <c r="O140" i="1"/>
  <c r="P140" i="1"/>
  <c r="Q140" i="1"/>
  <c r="P139" i="1"/>
  <c r="Q139" i="1" s="1"/>
  <c r="O139" i="1"/>
  <c r="P138" i="1"/>
  <c r="Q138" i="1" s="1"/>
  <c r="O138" i="1"/>
  <c r="P137" i="1"/>
  <c r="Q137" i="1" s="1"/>
  <c r="O137" i="1"/>
  <c r="P136" i="1"/>
  <c r="Q136" i="1" s="1"/>
  <c r="O136" i="1"/>
  <c r="Q135" i="1"/>
  <c r="P135" i="1"/>
  <c r="O135" i="1"/>
  <c r="P134" i="1"/>
  <c r="Q134" i="1" s="1"/>
  <c r="O134" i="1"/>
  <c r="P130" i="1"/>
  <c r="Q130" i="1" s="1"/>
  <c r="O130" i="1"/>
  <c r="P129" i="1"/>
  <c r="Q129" i="1" s="1"/>
  <c r="O129" i="1"/>
  <c r="P128" i="1"/>
  <c r="Q128" i="1" s="1"/>
  <c r="O128" i="1"/>
  <c r="P127" i="1"/>
  <c r="Q127" i="1" s="1"/>
  <c r="O127" i="1"/>
  <c r="P126" i="1"/>
  <c r="Q126" i="1" s="1"/>
  <c r="O126" i="1"/>
  <c r="P125" i="1"/>
  <c r="Q125" i="1" s="1"/>
  <c r="O125" i="1"/>
  <c r="P121" i="1"/>
  <c r="Q121" i="1" s="1"/>
  <c r="O121" i="1"/>
  <c r="P120" i="1"/>
  <c r="Q120" i="1" s="1"/>
  <c r="O120" i="1"/>
  <c r="P119" i="1"/>
  <c r="Q119" i="1" s="1"/>
  <c r="O119" i="1"/>
  <c r="P118" i="1"/>
  <c r="Q118" i="1" s="1"/>
  <c r="O118" i="1"/>
  <c r="P117" i="1"/>
  <c r="Q117" i="1" s="1"/>
  <c r="O117" i="1"/>
  <c r="P116" i="1"/>
  <c r="Q116" i="1" s="1"/>
  <c r="O116" i="1"/>
  <c r="Q89" i="1"/>
  <c r="Q90" i="1"/>
  <c r="Q91" i="1"/>
  <c r="Q92" i="1"/>
  <c r="Q93" i="1"/>
  <c r="Q94" i="1"/>
  <c r="Q98" i="1"/>
  <c r="Q99" i="1"/>
  <c r="Q100" i="1"/>
  <c r="Q101" i="1"/>
  <c r="Q102" i="1"/>
  <c r="Q103" i="1"/>
  <c r="Q107" i="1"/>
  <c r="Q108" i="1"/>
  <c r="Q109" i="1"/>
  <c r="Q110" i="1"/>
  <c r="Q111" i="1"/>
  <c r="Q112" i="1"/>
  <c r="P89" i="1"/>
  <c r="P90" i="1"/>
  <c r="P91" i="1"/>
  <c r="P92" i="1"/>
  <c r="P93" i="1"/>
  <c r="P94" i="1"/>
  <c r="P98" i="1"/>
  <c r="P99" i="1"/>
  <c r="P100" i="1"/>
  <c r="P101" i="1"/>
  <c r="P102" i="1"/>
  <c r="P103" i="1"/>
  <c r="P107" i="1"/>
  <c r="P108" i="1"/>
  <c r="P109" i="1"/>
  <c r="P110" i="1"/>
  <c r="P111" i="1"/>
  <c r="P112" i="1"/>
  <c r="Q80" i="1"/>
  <c r="Q81" i="1"/>
  <c r="Q82" i="1"/>
  <c r="Q83" i="1"/>
  <c r="Q84" i="1"/>
  <c r="Q85" i="1"/>
  <c r="P80" i="1"/>
  <c r="P81" i="1"/>
  <c r="P82" i="1"/>
  <c r="P83" i="1"/>
  <c r="P84" i="1"/>
  <c r="P85" i="1"/>
  <c r="Q79" i="1"/>
  <c r="O107" i="1"/>
  <c r="O108" i="1"/>
  <c r="O109" i="1"/>
  <c r="O110" i="1"/>
  <c r="O112" i="1"/>
  <c r="O111" i="1"/>
  <c r="O103" i="1"/>
  <c r="O102" i="1"/>
  <c r="O101" i="1"/>
  <c r="O100" i="1"/>
  <c r="O99" i="1"/>
  <c r="O98" i="1"/>
  <c r="O94" i="1"/>
  <c r="O93" i="1"/>
  <c r="O92" i="1"/>
  <c r="O91" i="1"/>
  <c r="O90" i="1"/>
  <c r="O89" i="1"/>
  <c r="O85" i="1"/>
  <c r="O84" i="1"/>
  <c r="O83" i="1"/>
  <c r="O80" i="1"/>
  <c r="O81" i="1"/>
  <c r="O82" i="1"/>
  <c r="O79" i="1"/>
  <c r="O67" i="1"/>
  <c r="O68" i="1"/>
  <c r="O69" i="1"/>
  <c r="O70" i="1"/>
  <c r="O71" i="1"/>
  <c r="O72" i="1"/>
  <c r="O73" i="1"/>
  <c r="O74" i="1"/>
  <c r="O75" i="1"/>
  <c r="O66" i="1"/>
  <c r="O55" i="1"/>
  <c r="O56" i="1"/>
  <c r="O57" i="1"/>
  <c r="O58" i="1"/>
  <c r="O59" i="1"/>
  <c r="O60" i="1"/>
  <c r="O61" i="1"/>
  <c r="O62" i="1"/>
  <c r="O32" i="1"/>
  <c r="O33" i="1"/>
  <c r="O34" i="1"/>
  <c r="O35" i="1"/>
  <c r="O36" i="1"/>
  <c r="O37" i="1"/>
  <c r="O38" i="1"/>
  <c r="O39" i="1"/>
  <c r="O40" i="1"/>
  <c r="O41" i="1"/>
  <c r="O43" i="1"/>
  <c r="O44" i="1"/>
  <c r="O45" i="1"/>
  <c r="O46" i="1"/>
  <c r="O47" i="1"/>
  <c r="O48" i="1"/>
  <c r="O49" i="1"/>
  <c r="O50" i="1"/>
  <c r="O51" i="1"/>
  <c r="O52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1" i="1"/>
</calcChain>
</file>

<file path=xl/sharedStrings.xml><?xml version="1.0" encoding="utf-8"?>
<sst xmlns="http://schemas.openxmlformats.org/spreadsheetml/2006/main" count="635" uniqueCount="220">
  <si>
    <t>Condition ID</t>
  </si>
  <si>
    <t>#1</t>
  </si>
  <si>
    <t>#2</t>
  </si>
  <si>
    <t>#3</t>
  </si>
  <si>
    <t>#4</t>
  </si>
  <si>
    <t>#5</t>
  </si>
  <si>
    <t>#6</t>
  </si>
  <si>
    <t>#7</t>
  </si>
  <si>
    <t>CR</t>
  </si>
  <si>
    <t>Piston Mass (kg)</t>
  </si>
  <si>
    <t>Driver Fill (kPa)</t>
  </si>
  <si>
    <t>Res Fill (Mpa)</t>
  </si>
  <si>
    <t>Hold Time (ms)</t>
  </si>
  <si>
    <t>Buffer L (mm)</t>
  </si>
  <si>
    <t>All using:</t>
  </si>
  <si>
    <t>1.2mm diaphragms</t>
  </si>
  <si>
    <t>15.5MPa rupture</t>
  </si>
  <si>
    <t>Orifice Dia. (mm)</t>
  </si>
  <si>
    <t>Impact Vel. (m/s)</t>
  </si>
  <si>
    <t>Composition (He/Ar/N2)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</si>
  <si>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</si>
  <si>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</si>
  <si>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</si>
  <si>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</si>
  <si>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</si>
  <si>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</si>
  <si>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</si>
  <si>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</si>
  <si>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</si>
  <si>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</si>
  <si>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</si>
  <si>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</si>
  <si>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</si>
  <si>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</si>
  <si>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</si>
  <si>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</si>
  <si>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</si>
  <si>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</si>
  <si>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</si>
  <si>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</si>
  <si>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</si>
  <si>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</si>
  <si>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</si>
  <si>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</si>
  <si>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</si>
  <si>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</si>
  <si>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</si>
  <si>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</si>
  <si>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</si>
  <si>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</si>
  <si>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</si>
  <si>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</si>
  <si>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</si>
  <si>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</si>
  <si>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</si>
  <si>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</si>
  <si>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</si>
  <si>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</si>
  <si>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</si>
  <si>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</si>
  <si>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</si>
  <si>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78.5/21.5/0</t>
  </si>
  <si>
    <t>89.2/10.8/0</t>
  </si>
  <si>
    <t>94.3/5.7/0</t>
  </si>
  <si>
    <t>100/0/0</t>
  </si>
  <si>
    <t>83.2/16.8/0</t>
  </si>
  <si>
    <t>92.3/7.7/0</t>
  </si>
  <si>
    <t>96.7/3.3/0</t>
  </si>
  <si>
    <t>NSE</t>
  </si>
  <si>
    <t>87.6/12.4/0</t>
  </si>
  <si>
    <t>95.3/4.7/0</t>
  </si>
  <si>
    <t>99/1/0</t>
  </si>
  <si>
    <t>54.8/45.2/0</t>
  </si>
  <si>
    <t>73.2/26.8/0</t>
  </si>
  <si>
    <t>82/18/0</t>
  </si>
  <si>
    <t>91.9/8.1/0</t>
  </si>
  <si>
    <t>39.5/60.5/0</t>
  </si>
  <si>
    <t>62.9/37.1/0</t>
  </si>
  <si>
    <t>74.1/25.9/0</t>
  </si>
  <si>
    <t>86.7/13.3/0</t>
  </si>
  <si>
    <t>22.5/77.5/0</t>
  </si>
  <si>
    <t>51.5/48.5/0</t>
  </si>
  <si>
    <t>65.2/34.8/0</t>
  </si>
  <si>
    <t>80.8/19.2/0</t>
  </si>
  <si>
    <t>4/96/0</t>
  </si>
  <si>
    <t>39/61/0</t>
  </si>
  <si>
    <t>55.7/44.3/0</t>
  </si>
  <si>
    <t>74.5/25.5/0</t>
  </si>
  <si>
    <t>VS1 (m/s)</t>
  </si>
  <si>
    <t>59.6/40.4/0</t>
  </si>
  <si>
    <t>Prup (Mpa)</t>
  </si>
  <si>
    <t>Pmax (Mpa)</t>
  </si>
  <si>
    <t>Povershoot</t>
  </si>
  <si>
    <t>76.4/23.6/0</t>
  </si>
  <si>
    <t>84.5/15.5/0</t>
  </si>
  <si>
    <t>93.5/6.5/0</t>
  </si>
  <si>
    <t>49.6/50.4/0</t>
  </si>
  <si>
    <t>69.6/30.4/0</t>
  </si>
  <si>
    <t>79.2/20.8/0</t>
  </si>
  <si>
    <t>90.1/9.9/0</t>
  </si>
  <si>
    <t>68.8/31.2/0</t>
  </si>
  <si>
    <t>82.6/17.4/0</t>
  </si>
  <si>
    <t>89.3/10.7/0</t>
  </si>
  <si>
    <t>16.1/83.9/0</t>
  </si>
  <si>
    <t>33.9/66.1/0</t>
  </si>
  <si>
    <t>46/54/0</t>
  </si>
  <si>
    <t>11.1/88.9/0</t>
  </si>
  <si>
    <t>76.3/23.7/0</t>
  </si>
  <si>
    <t>70.1/29.9/0</t>
  </si>
  <si>
    <t>61.1/38.9/0</t>
  </si>
  <si>
    <t>33.8/66.2/0</t>
  </si>
  <si>
    <t>77.2/22.8/0</t>
  </si>
  <si>
    <t>88.3/11.7/0</t>
  </si>
  <si>
    <t>93.6/6.4/0</t>
  </si>
  <si>
    <t>99.5/0.5/0</t>
  </si>
  <si>
    <t>91.4/8.6/0</t>
  </si>
  <si>
    <t>97.8/2.2/0</t>
  </si>
  <si>
    <t>59.3/40.7/0</t>
  </si>
  <si>
    <t>71.3/28.7/0</t>
  </si>
  <si>
    <t>84.8/15.2/0</t>
  </si>
  <si>
    <t>83.6/16.4/0</t>
  </si>
  <si>
    <t>89.9/10.1/0</t>
  </si>
  <si>
    <t>Trial #1</t>
  </si>
  <si>
    <t>Trial #2</t>
  </si>
  <si>
    <t>94/6/0</t>
  </si>
  <si>
    <t>85.2/14.8/0</t>
  </si>
  <si>
    <t>40.6/59.4/0</t>
  </si>
  <si>
    <t>63.7/36.3/0</t>
  </si>
  <si>
    <t>74.7/25.3/0</t>
  </si>
  <si>
    <t>87.1/12.9/0</t>
  </si>
  <si>
    <t>Trial #3</t>
  </si>
  <si>
    <t>8.3/91.7/0</t>
  </si>
  <si>
    <t>42.1/57.9/0</t>
  </si>
  <si>
    <t>58.1/31.9/0</t>
  </si>
  <si>
    <t>76/24/0</t>
  </si>
  <si>
    <t>85.6/14.4/0</t>
  </si>
  <si>
    <t>72.5/27.5/0</t>
  </si>
  <si>
    <t>New piston, 2x new diaphragms</t>
  </si>
  <si>
    <t>New buffers, 2x new diaphragms</t>
  </si>
  <si>
    <t>Trial #4</t>
  </si>
  <si>
    <t>New piston, new buffers, 1x new diaphragm</t>
  </si>
  <si>
    <t>25.8/74.2/0</t>
  </si>
  <si>
    <t>53.8/46.2/0</t>
  </si>
  <si>
    <t>67.1/32.9/0</t>
  </si>
  <si>
    <t>Req. HT</t>
  </si>
  <si>
    <t>% Req. HT</t>
  </si>
  <si>
    <t>Trial #5</t>
  </si>
  <si>
    <t>New piston, new buffers, 2x new diaphragm</t>
  </si>
  <si>
    <t>50.4/49.6/0</t>
  </si>
  <si>
    <t>Trial #6</t>
  </si>
  <si>
    <t>58/42/0</t>
  </si>
  <si>
    <t>70.3/29.7/0</t>
  </si>
  <si>
    <t>84.2/15.8/0</t>
  </si>
  <si>
    <t>95.5/4.5/0</t>
  </si>
  <si>
    <t>87.5/12.5/0</t>
  </si>
  <si>
    <t>80.4/19.6/0</t>
  </si>
  <si>
    <t>Trial #7</t>
  </si>
  <si>
    <t>97/3/0</t>
  </si>
  <si>
    <t>92/8</t>
  </si>
  <si>
    <t>75/0/25</t>
  </si>
  <si>
    <t>78/22/0</t>
  </si>
  <si>
    <t>80/0/20</t>
  </si>
  <si>
    <t>51/0/49 (gam=1.45)</t>
  </si>
  <si>
    <t>50/50/0</t>
  </si>
  <si>
    <t>0/0/100</t>
  </si>
  <si>
    <t>93/0/7</t>
  </si>
  <si>
    <t>83/0/17</t>
  </si>
  <si>
    <t>60/0/40</t>
  </si>
  <si>
    <t>84.9/15.1</t>
  </si>
  <si>
    <t>93.8/6.2</t>
  </si>
  <si>
    <t>76.9/23.1</t>
  </si>
  <si>
    <t>60.6/39.4</t>
  </si>
  <si>
    <t>78.2/21.8</t>
  </si>
  <si>
    <t>15/85</t>
  </si>
  <si>
    <t>46.2/53.8</t>
  </si>
  <si>
    <t>61.2/38.8</t>
  </si>
  <si>
    <t>SPARK</t>
  </si>
  <si>
    <t>X2 Modifications: 1x new buffer, 2x new diaphragms</t>
  </si>
  <si>
    <t>Composition (He/Ar)</t>
  </si>
  <si>
    <t>Hodson-CR15-4MPa-85mm</t>
  </si>
  <si>
    <t>Hodson-CR15-4MPa-77mm</t>
  </si>
  <si>
    <t>Hodson-CR15-4MPa-72.1mm</t>
  </si>
  <si>
    <t>Hodson-CR15-4MPa-65mm</t>
  </si>
  <si>
    <t>Hodson-CR15-8MPa-85mm</t>
  </si>
  <si>
    <t>Hodson-CR15-8MPa-77mm</t>
  </si>
  <si>
    <t>Hodson-CR15-8MPa-72.1mm</t>
  </si>
  <si>
    <t>Hodson-CR15-8MPa-65mm</t>
  </si>
  <si>
    <t>Driver Comp. (He/Ar)</t>
  </si>
  <si>
    <t>Res. Fill (Mpa)</t>
  </si>
  <si>
    <t>L1D4</t>
  </si>
  <si>
    <t>FEV (m/s)</t>
  </si>
  <si>
    <t>X2 Modifications: 1x New Buffer, 2x New Diaphragms</t>
  </si>
  <si>
    <t xml:space="preserve"> </t>
  </si>
  <si>
    <t>L1D4 (Uncalibrated)</t>
  </si>
  <si>
    <t>60/40</t>
  </si>
  <si>
    <t>100/0</t>
  </si>
  <si>
    <t>94.9/5.1</t>
  </si>
  <si>
    <t>88.1/11.9</t>
  </si>
  <si>
    <t>79.3/20.7</t>
  </si>
  <si>
    <t>X2 Modifications: 2x New Buffer, 2x New Diaphragms, 3x New Orifice Plates</t>
  </si>
  <si>
    <t>79.4/20.6</t>
  </si>
  <si>
    <t>63/37</t>
  </si>
  <si>
    <t>48.5/51.5</t>
  </si>
  <si>
    <t>18/82</t>
  </si>
  <si>
    <t>Hodson-CR10-85mm</t>
  </si>
  <si>
    <t>Hodson-CR10-77mm</t>
  </si>
  <si>
    <t>Hodson-CR10-72.1mm</t>
  </si>
  <si>
    <t>Hodson-CR10-65mm</t>
  </si>
  <si>
    <t>Hodson-CR10-60mm</t>
  </si>
  <si>
    <t>Hodson-CR10-55mm</t>
  </si>
  <si>
    <t>Hodson-CR10-50mm</t>
  </si>
  <si>
    <t>Hodson-CR18-60mm</t>
  </si>
  <si>
    <t>Hodson-CR18-55mm</t>
  </si>
  <si>
    <t>Hodson-CR18-50mm</t>
  </si>
  <si>
    <t>Hodson-CR18-65mm</t>
  </si>
  <si>
    <t>Test Time (ms)</t>
  </si>
  <si>
    <t>25/75</t>
  </si>
  <si>
    <t>85/15</t>
  </si>
  <si>
    <t>64/36</t>
  </si>
  <si>
    <t>97/3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</si>
</sst>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0" fontId="0" fillId="3" borderId="1" xfId="0" applyFill="1" applyBorder="1"/>
    <xf numFmtId="10" fontId="0" fillId="0" borderId="1" xfId="1" applyNumberFormat="1" applyFont="1" applyBorder="1"/>
    <xf numFmtId="0" fontId="0" fillId="3" borderId="1" xfId="0" applyFill="1" applyBorder="1" applyAlignment="1">
      <alignment horizontal="right" vertical="center"/>
    </xf>
    <xf numFmtId="10" fontId="0" fillId="3" borderId="1" xfId="1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10" fontId="0" fillId="2" borderId="1" xfId="1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/>
    <xf numFmtId="10" fontId="3" fillId="3" borderId="1" xfId="1" applyNumberFormat="1" applyFont="1" applyFill="1" applyBorder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/>
    <xf numFmtId="10" fontId="3" fillId="2" borderId="1" xfId="1" applyNumberFormat="1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2" xfId="0" applyBorder="1"/>
    <xf numFmtId="9" fontId="0" fillId="0" borderId="0" xfId="1" applyFont="1"/>
    <xf numFmtId="9" fontId="0" fillId="0" borderId="1" xfId="1" applyFont="1" applyBorder="1"/>
    <xf numFmtId="164" fontId="0" fillId="0" borderId="1" xfId="0" applyNumberFormat="1" applyBorder="1"/>
    <xf numFmtId="164" fontId="0" fillId="0" borderId="0" xfId="0" applyNumberFormat="1"/>
    <xf numFmtId="164" fontId="0" fillId="2" borderId="1" xfId="0" applyNumberFormat="1" applyFill="1" applyBorder="1" applyAlignment="1">
      <alignment horizontal="center"/>
    </xf>
    <xf numFmtId="0" fontId="0" fillId="0" borderId="3" xfId="0" applyBorder="1"/>
    <xf numFmtId="3" fontId="0" fillId="0" borderId="1" xfId="0" applyNumberFormat="1" applyBorder="1"/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0" borderId="14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0" fontId="0" fillId="3" borderId="11" xfId="1" applyNumberFormat="1" applyFont="1" applyFill="1" applyBorder="1" applyAlignment="1">
      <alignment horizontal="center" vertical="center"/>
    </xf>
    <xf numFmtId="10" fontId="0" fillId="3" borderId="12" xfId="1" applyNumberFormat="1" applyFont="1" applyFill="1" applyBorder="1" applyAlignment="1">
      <alignment horizontal="center" vertical="center"/>
    </xf>
    <xf numFmtId="10" fontId="0" fillId="3" borderId="13" xfId="1" applyNumberFormat="1" applyFon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3" borderId="20" xfId="0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9" fontId="0" fillId="0" borderId="11" xfId="1" applyFont="1" applyBorder="1" applyAlignment="1">
      <alignment horizontal="center"/>
    </xf>
    <xf numFmtId="9" fontId="0" fillId="0" borderId="12" xfId="1" applyFont="1" applyBorder="1" applyAlignment="1">
      <alignment horizontal="center"/>
    </xf>
    <xf numFmtId="9" fontId="0" fillId="0" borderId="13" xfId="1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0" fontId="0" fillId="0" borderId="23" xfId="0" applyBorder="1"/>
    <xf numFmtId="0" fontId="0" fillId="0" borderId="18" xfId="0" applyBorder="1"/>
    <xf numFmtId="0" fontId="0" fillId="3" borderId="25" xfId="0" applyFill="1" applyBorder="1" applyAlignment="1">
      <alignment horizontal="center" vertical="center"/>
    </xf>
    <xf numFmtId="0" fontId="0" fillId="0" borderId="0" xfId="0" applyBorder="1" applyAlignment="1"/>
    <xf numFmtId="0" fontId="0" fillId="2" borderId="14" xfId="0" applyFill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0" borderId="25" xfId="0" applyBorder="1"/>
    <xf numFmtId="0" fontId="0" fillId="0" borderId="12" xfId="0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9" fontId="0" fillId="0" borderId="25" xfId="1" applyFon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0" fontId="0" fillId="3" borderId="25" xfId="1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0" fontId="3" fillId="2" borderId="1" xfId="1" applyNumberFormat="1" applyFont="1" applyFill="1" applyBorder="1" applyAlignment="1">
      <alignment horizontal="right"/>
    </xf>
    <xf numFmtId="0" fontId="0" fillId="0" borderId="0" xfId="0" applyBorder="1"/>
    <xf numFmtId="164" fontId="0" fillId="0" borderId="0" xfId="0" applyNumberFormat="1" applyBorder="1" applyAlignment="1">
      <alignment horizontal="center"/>
    </xf>
    <xf numFmtId="9" fontId="0" fillId="0" borderId="0" xfId="1" applyFont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14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871E-8B79-4733-8636-CCCCE508EE73}">
  <dimension ref="B10:R170"/>
  <sheetViews>
    <sheetView tabSelected="1" topLeftCell="A124" zoomScale="80" zoomScaleNormal="80" workbookViewId="0">
      <selection activeCell="P51" sqref="P51:P62"/>
    </sheetView>
  </sheetViews>
  <sheetFormatPr defaultRowHeight="13.8"/>
  <cols>
    <col min="2" max="2" width="11.8984375" bestFit="1" customWidth="1"/>
    <col min="3" max="3" width="5" bestFit="1" customWidth="1"/>
    <col min="4" max="4" width="15.69921875" bestFit="1" customWidth="1"/>
    <col min="5" max="5" width="16.296875" bestFit="1" customWidth="1"/>
    <col min="6" max="7" width="14.59765625" bestFit="1" customWidth="1"/>
    <col min="8" max="8" width="22.59765625" bestFit="1" customWidth="1"/>
    <col min="9" max="9" width="12.69921875" bestFit="1" customWidth="1"/>
    <col min="10" max="10" width="16.296875" bestFit="1" customWidth="1"/>
    <col min="11" max="11" width="14.59765625" bestFit="1" customWidth="1"/>
    <col min="12" max="12" width="9.3984375" bestFit="1" customWidth="1"/>
    <col min="13" max="13" width="10.8984375" bestFit="1" customWidth="1"/>
    <col min="14" max="14" width="11.59765625" bestFit="1" customWidth="1"/>
    <col min="15" max="15" width="10.8984375" bestFit="1" customWidth="1"/>
    <col min="16" max="16" width="8.3984375" bestFit="1" customWidth="1"/>
    <col min="17" max="17" width="9.59765625" bestFit="1" customWidth="1"/>
  </cols>
  <sheetData>
    <row r="10" spans="2:18">
      <c r="B10" t="s">
        <v>14</v>
      </c>
    </row>
    <row r="11" spans="2:18">
      <c r="B11" t="s">
        <v>15</v>
      </c>
    </row>
    <row r="12" spans="2:18">
      <c r="B12" t="s">
        <v>16</v>
      </c>
    </row>
    <row r="14" spans="2:18">
      <c r="B14" s="5" t="s">
        <v>0</v>
      </c>
      <c r="C14" s="5" t="s">
        <v>8</v>
      </c>
      <c r="D14" s="5" t="s">
        <v>9</v>
      </c>
      <c r="E14" s="5" t="s">
        <v>17</v>
      </c>
      <c r="F14" s="5" t="s">
        <v>10</v>
      </c>
      <c r="G14" s="5" t="s">
        <v>11</v>
      </c>
      <c r="H14" s="5" t="s">
        <v>19</v>
      </c>
      <c r="I14" s="5" t="s">
        <v>13</v>
      </c>
      <c r="J14" s="5" t="s">
        <v>18</v>
      </c>
      <c r="K14" s="5" t="s">
        <v>12</v>
      </c>
      <c r="L14" s="5" t="s">
        <v>88</v>
      </c>
      <c r="M14" s="5" t="s">
        <v>90</v>
      </c>
      <c r="N14" s="5" t="s">
        <v>91</v>
      </c>
      <c r="O14" s="5" t="s">
        <v>92</v>
      </c>
    </row>
    <row r="15" spans="2:18">
      <c r="B15" s="2" t="s">
        <v>1</v>
      </c>
      <c r="C15" s="95">
        <v>17.5</v>
      </c>
      <c r="D15" s="95">
        <v>10.5</v>
      </c>
      <c r="E15" s="3">
        <v>85</v>
      </c>
      <c r="F15" s="3">
        <v>131.27699999999999</v>
      </c>
      <c r="G15" s="3">
        <v>3.0139999999999998</v>
      </c>
      <c r="H15" s="3" t="s">
        <v>61</v>
      </c>
      <c r="I15" s="3">
        <v>126</v>
      </c>
      <c r="J15" s="3">
        <v>0.69299999999999995</v>
      </c>
      <c r="K15" s="3">
        <v>1.1759999999999999</v>
      </c>
      <c r="L15" s="1">
        <v>3071</v>
      </c>
      <c r="M15" s="1">
        <v>15.5</v>
      </c>
      <c r="N15" s="1"/>
      <c r="O15" s="14">
        <f t="shared" ref="O15:O29" si="0">(N15/M15)-1</f>
        <v>-1</v>
      </c>
      <c r="P15" s="34">
        <f>1000*((3.418/L15))</f>
        <v>1.1129925105828722</v>
      </c>
      <c r="R15" t="s">
        <v>192</v>
      </c>
    </row>
    <row r="16" spans="2:18">
      <c r="B16" s="2" t="s">
        <v>2</v>
      </c>
      <c r="C16" s="95"/>
      <c r="D16" s="95"/>
      <c r="E16" s="3">
        <v>77</v>
      </c>
      <c r="F16" s="3">
        <v>131.27699999999999</v>
      </c>
      <c r="G16" s="3">
        <v>3.01</v>
      </c>
      <c r="H16" s="3" t="s">
        <v>62</v>
      </c>
      <c r="I16" s="3">
        <v>126</v>
      </c>
      <c r="J16" s="3">
        <v>1.8720000000000001</v>
      </c>
      <c r="K16" s="3">
        <v>1.1719999999999999</v>
      </c>
      <c r="L16" s="1">
        <v>3371</v>
      </c>
      <c r="M16" s="1">
        <v>15.5</v>
      </c>
      <c r="N16" s="1"/>
      <c r="O16" s="14">
        <f t="shared" si="0"/>
        <v>-1</v>
      </c>
      <c r="P16" s="34">
        <f t="shared" ref="P16:P62" si="1">1000*((3.418/L16))</f>
        <v>1.0139424503114802</v>
      </c>
    </row>
    <row r="17" spans="2:16">
      <c r="B17" s="2" t="s">
        <v>3</v>
      </c>
      <c r="C17" s="95"/>
      <c r="D17" s="95"/>
      <c r="E17" s="3">
        <v>72.099999999999994</v>
      </c>
      <c r="F17" s="3">
        <v>131.27699999999999</v>
      </c>
      <c r="G17" s="3">
        <v>3.0059999999999998</v>
      </c>
      <c r="H17" s="3" t="s">
        <v>63</v>
      </c>
      <c r="I17" s="3">
        <v>126</v>
      </c>
      <c r="J17" s="3">
        <v>2.56</v>
      </c>
      <c r="K17" s="3">
        <v>1.1679999999999999</v>
      </c>
      <c r="L17" s="1">
        <v>3578</v>
      </c>
      <c r="M17" s="1">
        <v>15.5</v>
      </c>
      <c r="N17" s="1"/>
      <c r="O17" s="14">
        <f t="shared" si="0"/>
        <v>-1</v>
      </c>
      <c r="P17" s="34">
        <f t="shared" si="1"/>
        <v>0.95528228060368925</v>
      </c>
    </row>
    <row r="18" spans="2:16">
      <c r="B18" s="2" t="s">
        <v>4</v>
      </c>
      <c r="C18" s="95"/>
      <c r="D18" s="95"/>
      <c r="E18" s="3">
        <v>65</v>
      </c>
      <c r="F18" s="3">
        <v>131.27699999999999</v>
      </c>
      <c r="G18" s="3">
        <v>3.0089999999999999</v>
      </c>
      <c r="H18" s="3" t="s">
        <v>64</v>
      </c>
      <c r="I18" s="3">
        <v>126</v>
      </c>
      <c r="J18" s="3">
        <v>1.9910000000000001</v>
      </c>
      <c r="K18" s="3">
        <v>1.169</v>
      </c>
      <c r="L18" s="1">
        <v>3905</v>
      </c>
      <c r="M18" s="1">
        <v>15.5</v>
      </c>
      <c r="N18" s="1"/>
      <c r="O18" s="14">
        <f t="shared" si="0"/>
        <v>-1</v>
      </c>
      <c r="P18" s="34">
        <f t="shared" si="1"/>
        <v>0.87528809218950077</v>
      </c>
    </row>
    <row r="19" spans="2:16">
      <c r="B19" s="5" t="s">
        <v>5</v>
      </c>
      <c r="C19" s="99">
        <v>17.5</v>
      </c>
      <c r="D19" s="99">
        <v>20</v>
      </c>
      <c r="E19" s="6">
        <v>85</v>
      </c>
      <c r="F19" s="6">
        <v>131.27699999999999</v>
      </c>
      <c r="G19" s="6">
        <v>2.5609999999999999</v>
      </c>
      <c r="H19" s="6" t="s">
        <v>96</v>
      </c>
      <c r="I19" s="6">
        <v>114</v>
      </c>
      <c r="J19" s="6">
        <v>4.2919999999999998</v>
      </c>
      <c r="K19" s="6">
        <v>1.6830000000000001</v>
      </c>
      <c r="L19" s="8">
        <v>2485</v>
      </c>
      <c r="M19" s="1">
        <v>15.5</v>
      </c>
      <c r="N19" s="1">
        <v>17.035</v>
      </c>
      <c r="O19" s="14">
        <f t="shared" si="0"/>
        <v>9.903225806451621E-2</v>
      </c>
      <c r="P19" s="34">
        <f t="shared" si="1"/>
        <v>1.3754527162977868</v>
      </c>
    </row>
    <row r="20" spans="2:16">
      <c r="B20" s="5" t="s">
        <v>6</v>
      </c>
      <c r="C20" s="99"/>
      <c r="D20" s="99"/>
      <c r="E20" s="6">
        <v>77</v>
      </c>
      <c r="F20" s="6">
        <v>131.27699999999999</v>
      </c>
      <c r="G20" s="6">
        <v>2.5630000000000002</v>
      </c>
      <c r="H20" s="6" t="s">
        <v>97</v>
      </c>
      <c r="I20" s="6">
        <v>114</v>
      </c>
      <c r="J20" s="6">
        <v>3.992</v>
      </c>
      <c r="K20" s="6">
        <v>1.6850000000000001</v>
      </c>
      <c r="L20" s="8">
        <v>2743</v>
      </c>
      <c r="M20" s="1">
        <v>15.5</v>
      </c>
      <c r="N20" s="1">
        <v>17.036999999999999</v>
      </c>
      <c r="O20" s="14">
        <f t="shared" si="0"/>
        <v>9.9161290322580475E-2</v>
      </c>
      <c r="P20" s="34">
        <f t="shared" si="1"/>
        <v>1.2460809332847247</v>
      </c>
    </row>
    <row r="21" spans="2:16">
      <c r="B21" s="5" t="s">
        <v>7</v>
      </c>
      <c r="C21" s="99"/>
      <c r="D21" s="99"/>
      <c r="E21" s="6">
        <v>72.099999999999994</v>
      </c>
      <c r="F21" s="6">
        <v>131.27699999999999</v>
      </c>
      <c r="G21" s="6">
        <v>2.5630000000000002</v>
      </c>
      <c r="H21" s="6" t="s">
        <v>98</v>
      </c>
      <c r="I21" s="6">
        <v>114</v>
      </c>
      <c r="J21" s="6">
        <v>4.0229999999999997</v>
      </c>
      <c r="K21" s="6">
        <v>1.6850000000000001</v>
      </c>
      <c r="L21" s="8">
        <v>2921</v>
      </c>
      <c r="M21" s="1">
        <v>15.5</v>
      </c>
      <c r="N21" s="1">
        <v>17.036999999999999</v>
      </c>
      <c r="O21" s="14">
        <f t="shared" si="0"/>
        <v>9.9161290322580475E-2</v>
      </c>
      <c r="P21" s="34">
        <f t="shared" si="1"/>
        <v>1.170147209859637</v>
      </c>
    </row>
    <row r="22" spans="2:16">
      <c r="B22" s="5" t="s">
        <v>20</v>
      </c>
      <c r="C22" s="99"/>
      <c r="D22" s="99"/>
      <c r="E22" s="6">
        <v>65</v>
      </c>
      <c r="F22" s="6">
        <v>131.27699999999999</v>
      </c>
      <c r="G22" s="6">
        <v>2.56</v>
      </c>
      <c r="H22" s="6" t="s">
        <v>99</v>
      </c>
      <c r="I22" s="6">
        <v>114</v>
      </c>
      <c r="J22" s="6">
        <v>4.3780000000000001</v>
      </c>
      <c r="K22" s="6">
        <v>1.6779999999999999</v>
      </c>
      <c r="L22" s="8">
        <v>3212</v>
      </c>
      <c r="M22" s="1">
        <v>15.5</v>
      </c>
      <c r="N22" s="1">
        <v>17.030999999999999</v>
      </c>
      <c r="O22" s="14">
        <f t="shared" si="0"/>
        <v>9.8774193548387013E-2</v>
      </c>
      <c r="P22" s="34">
        <f t="shared" si="1"/>
        <v>1.064134495641345</v>
      </c>
    </row>
    <row r="23" spans="2:16">
      <c r="B23" s="2" t="s">
        <v>21</v>
      </c>
      <c r="C23" s="95">
        <v>17.5</v>
      </c>
      <c r="D23" s="95">
        <v>35</v>
      </c>
      <c r="E23" s="3">
        <v>85</v>
      </c>
      <c r="F23" s="3">
        <v>131.27699999999999</v>
      </c>
      <c r="G23" s="3">
        <v>2.3079999999999998</v>
      </c>
      <c r="H23" s="4" t="s">
        <v>84</v>
      </c>
      <c r="I23" s="11">
        <v>83</v>
      </c>
      <c r="J23" s="11">
        <v>11.884</v>
      </c>
      <c r="K23" s="3">
        <v>2.2690000000000001</v>
      </c>
      <c r="L23" s="1">
        <v>2046</v>
      </c>
      <c r="M23" s="1">
        <v>15.5</v>
      </c>
      <c r="N23" s="1"/>
      <c r="O23" s="14">
        <f t="shared" si="0"/>
        <v>-1</v>
      </c>
      <c r="P23" s="34">
        <f t="shared" si="1"/>
        <v>1.6705767350928642</v>
      </c>
    </row>
    <row r="24" spans="2:16">
      <c r="B24" s="2" t="s">
        <v>22</v>
      </c>
      <c r="C24" s="95"/>
      <c r="D24" s="95"/>
      <c r="E24" s="3">
        <v>77</v>
      </c>
      <c r="F24" s="3">
        <v>131.27699999999999</v>
      </c>
      <c r="G24" s="3">
        <v>2.3079999999999998</v>
      </c>
      <c r="H24" s="3" t="s">
        <v>85</v>
      </c>
      <c r="I24" s="11">
        <v>83</v>
      </c>
      <c r="J24" s="11">
        <v>11.861000000000001</v>
      </c>
      <c r="K24" s="3">
        <v>2.2690000000000001</v>
      </c>
      <c r="L24" s="1">
        <v>2276</v>
      </c>
      <c r="M24" s="1">
        <v>15.5</v>
      </c>
      <c r="N24" s="1"/>
      <c r="O24" s="14">
        <f t="shared" si="0"/>
        <v>-1</v>
      </c>
      <c r="P24" s="34">
        <f t="shared" si="1"/>
        <v>1.5017574692442883</v>
      </c>
    </row>
    <row r="25" spans="2:16">
      <c r="B25" s="2" t="s">
        <v>23</v>
      </c>
      <c r="C25" s="95"/>
      <c r="D25" s="95"/>
      <c r="E25" s="3">
        <v>72.099999999999994</v>
      </c>
      <c r="F25" s="3">
        <v>131.27699999999999</v>
      </c>
      <c r="G25" s="3">
        <v>2.3079999999999998</v>
      </c>
      <c r="H25" s="3" t="s">
        <v>86</v>
      </c>
      <c r="I25" s="11">
        <v>83</v>
      </c>
      <c r="J25" s="11">
        <v>11.871</v>
      </c>
      <c r="K25" s="3">
        <v>2.2690000000000001</v>
      </c>
      <c r="L25" s="1">
        <v>2436</v>
      </c>
      <c r="M25" s="1">
        <v>15.5</v>
      </c>
      <c r="N25" s="1"/>
      <c r="O25" s="14">
        <f t="shared" si="0"/>
        <v>-1</v>
      </c>
      <c r="P25" s="34">
        <f t="shared" si="1"/>
        <v>1.4031198686371102</v>
      </c>
    </row>
    <row r="26" spans="2:16">
      <c r="B26" s="2" t="s">
        <v>24</v>
      </c>
      <c r="C26" s="95"/>
      <c r="D26" s="95"/>
      <c r="E26" s="3">
        <v>65</v>
      </c>
      <c r="F26" s="3">
        <v>131.27699999999999</v>
      </c>
      <c r="G26" s="3">
        <v>2.3079999999999998</v>
      </c>
      <c r="H26" s="3" t="s">
        <v>87</v>
      </c>
      <c r="I26" s="11">
        <v>83</v>
      </c>
      <c r="J26" s="11">
        <v>11.884</v>
      </c>
      <c r="K26" s="3">
        <v>2.2690000000000001</v>
      </c>
      <c r="L26" s="1">
        <v>2695</v>
      </c>
      <c r="M26" s="1">
        <v>15.5</v>
      </c>
      <c r="N26" s="1"/>
      <c r="O26" s="14">
        <f t="shared" si="0"/>
        <v>-1</v>
      </c>
      <c r="P26" s="34">
        <f t="shared" si="1"/>
        <v>1.2682745825602968</v>
      </c>
    </row>
    <row r="27" spans="2:16">
      <c r="B27" s="5" t="s">
        <v>25</v>
      </c>
      <c r="C27" s="99">
        <v>15</v>
      </c>
      <c r="D27" s="99">
        <v>10.5</v>
      </c>
      <c r="E27" s="6">
        <v>85</v>
      </c>
      <c r="F27" s="8">
        <v>169.74100000000001</v>
      </c>
      <c r="G27" s="8">
        <v>3.5979999999999999</v>
      </c>
      <c r="H27" s="6" t="s">
        <v>65</v>
      </c>
      <c r="I27" s="8">
        <v>152</v>
      </c>
      <c r="J27" s="8">
        <v>0.93700000000000006</v>
      </c>
      <c r="K27" s="8">
        <v>1.3280000000000001</v>
      </c>
      <c r="L27" s="8">
        <v>3124</v>
      </c>
      <c r="M27" s="1">
        <v>15.5</v>
      </c>
      <c r="N27" s="1"/>
      <c r="O27" s="14">
        <f t="shared" si="0"/>
        <v>-1</v>
      </c>
      <c r="P27" s="34">
        <f t="shared" si="1"/>
        <v>1.094110115236876</v>
      </c>
    </row>
    <row r="28" spans="2:16">
      <c r="B28" s="5" t="s">
        <v>26</v>
      </c>
      <c r="C28" s="99"/>
      <c r="D28" s="99"/>
      <c r="E28" s="6">
        <v>77</v>
      </c>
      <c r="F28" s="8">
        <v>169.74100000000001</v>
      </c>
      <c r="G28" s="8">
        <v>3.6</v>
      </c>
      <c r="H28" s="6" t="s">
        <v>66</v>
      </c>
      <c r="I28" s="8">
        <v>152</v>
      </c>
      <c r="J28" s="8">
        <v>6.3E-2</v>
      </c>
      <c r="K28" s="8">
        <v>1.33</v>
      </c>
      <c r="L28" s="8">
        <v>3426</v>
      </c>
      <c r="M28" s="1">
        <v>15.5</v>
      </c>
      <c r="N28" s="1"/>
      <c r="O28" s="14">
        <f t="shared" si="0"/>
        <v>-1</v>
      </c>
      <c r="P28" s="34">
        <f t="shared" si="1"/>
        <v>0.99766491535318158</v>
      </c>
    </row>
    <row r="29" spans="2:16">
      <c r="B29" s="5" t="s">
        <v>27</v>
      </c>
      <c r="C29" s="99"/>
      <c r="D29" s="99"/>
      <c r="E29" s="6">
        <v>72.099999999999994</v>
      </c>
      <c r="F29" s="8">
        <v>169.74100000000001</v>
      </c>
      <c r="G29" s="8">
        <v>3.5960000000000001</v>
      </c>
      <c r="H29" s="6" t="s">
        <v>67</v>
      </c>
      <c r="I29" s="8">
        <v>152</v>
      </c>
      <c r="J29" s="8">
        <v>1.6519999999999999</v>
      </c>
      <c r="K29" s="8">
        <v>1.3240000000000001</v>
      </c>
      <c r="L29" s="8">
        <v>3635</v>
      </c>
      <c r="M29" s="1">
        <v>15.5</v>
      </c>
      <c r="N29" s="1"/>
      <c r="O29" s="14">
        <f t="shared" si="0"/>
        <v>-1</v>
      </c>
      <c r="P29" s="34">
        <f t="shared" si="1"/>
        <v>0.94030261348005506</v>
      </c>
    </row>
    <row r="30" spans="2:16">
      <c r="B30" s="5" t="s">
        <v>28</v>
      </c>
      <c r="C30" s="99"/>
      <c r="D30" s="99"/>
      <c r="E30" s="6">
        <v>65</v>
      </c>
      <c r="F30" s="12" t="s">
        <v>68</v>
      </c>
      <c r="G30" s="12" t="s">
        <v>68</v>
      </c>
      <c r="H30" s="12" t="s">
        <v>68</v>
      </c>
      <c r="I30" s="12" t="s">
        <v>68</v>
      </c>
      <c r="J30" s="12" t="s">
        <v>68</v>
      </c>
      <c r="K30" s="12" t="s">
        <v>68</v>
      </c>
      <c r="L30" s="12" t="s">
        <v>68</v>
      </c>
      <c r="M30" s="12" t="s">
        <v>68</v>
      </c>
      <c r="N30" s="12" t="s">
        <v>68</v>
      </c>
      <c r="O30" s="12" t="s">
        <v>68</v>
      </c>
      <c r="P30" s="34" t="e">
        <f t="shared" si="1"/>
        <v>#VALUE!</v>
      </c>
    </row>
    <row r="31" spans="2:16">
      <c r="B31" s="2" t="s">
        <v>29</v>
      </c>
      <c r="C31" s="96">
        <v>15</v>
      </c>
      <c r="D31" s="96">
        <v>20</v>
      </c>
      <c r="E31" s="3">
        <v>85</v>
      </c>
      <c r="F31" s="13">
        <v>169.74100000000001</v>
      </c>
      <c r="G31" s="1">
        <v>3.0230000000000001</v>
      </c>
      <c r="H31" s="7" t="s">
        <v>89</v>
      </c>
      <c r="I31" s="1">
        <v>141</v>
      </c>
      <c r="J31" s="1">
        <v>2.1749999999999998</v>
      </c>
      <c r="K31" s="1">
        <v>1.875</v>
      </c>
      <c r="L31" s="1">
        <v>2549</v>
      </c>
      <c r="M31" s="1">
        <v>15.5</v>
      </c>
      <c r="N31" s="1">
        <v>17.026</v>
      </c>
      <c r="O31" s="14">
        <f>(N31/M31)-1</f>
        <v>9.8451612903225794E-2</v>
      </c>
      <c r="P31" s="34">
        <f t="shared" si="1"/>
        <v>1.3409180070615929</v>
      </c>
    </row>
    <row r="32" spans="2:16">
      <c r="B32" s="2" t="s">
        <v>30</v>
      </c>
      <c r="C32" s="96"/>
      <c r="D32" s="96"/>
      <c r="E32" s="3">
        <v>77</v>
      </c>
      <c r="F32" s="13">
        <v>169.74100000000001</v>
      </c>
      <c r="G32" s="1">
        <v>3.0249999999999999</v>
      </c>
      <c r="H32" s="7" t="s">
        <v>93</v>
      </c>
      <c r="I32" s="1">
        <v>141</v>
      </c>
      <c r="J32" s="1">
        <v>1.859</v>
      </c>
      <c r="K32" s="1">
        <v>1.8759999999999999</v>
      </c>
      <c r="L32" s="1">
        <v>2813</v>
      </c>
      <c r="M32" s="1">
        <v>15.5</v>
      </c>
      <c r="N32" s="1">
        <v>17.036000000000001</v>
      </c>
      <c r="O32" s="14">
        <f t="shared" ref="O32:O62" si="2">(N32/M32)-1</f>
        <v>9.9096774193548454E-2</v>
      </c>
      <c r="P32" s="34">
        <f t="shared" si="1"/>
        <v>1.2150728759331675</v>
      </c>
    </row>
    <row r="33" spans="2:16">
      <c r="B33" s="2" t="s">
        <v>31</v>
      </c>
      <c r="C33" s="96"/>
      <c r="D33" s="96"/>
      <c r="E33" s="3">
        <v>72.099999999999994</v>
      </c>
      <c r="F33" s="13">
        <v>169.74100000000001</v>
      </c>
      <c r="G33" s="1">
        <v>3.0190000000000001</v>
      </c>
      <c r="H33" s="7" t="s">
        <v>94</v>
      </c>
      <c r="I33" s="1">
        <v>141</v>
      </c>
      <c r="J33" s="1">
        <v>2.6709999999999998</v>
      </c>
      <c r="K33" s="1">
        <v>1.865</v>
      </c>
      <c r="L33" s="1">
        <v>2996</v>
      </c>
      <c r="M33" s="1">
        <v>15.5</v>
      </c>
      <c r="N33" s="1">
        <v>17.006</v>
      </c>
      <c r="O33" s="14">
        <f t="shared" si="2"/>
        <v>9.7161290322580696E-2</v>
      </c>
      <c r="P33" s="34">
        <f t="shared" si="1"/>
        <v>1.1408544726301737</v>
      </c>
    </row>
    <row r="34" spans="2:16">
      <c r="B34" s="2" t="s">
        <v>32</v>
      </c>
      <c r="C34" s="96"/>
      <c r="D34" s="96"/>
      <c r="E34" s="3">
        <v>65</v>
      </c>
      <c r="F34" s="13">
        <v>169.74100000000001</v>
      </c>
      <c r="G34" s="1">
        <v>3.024</v>
      </c>
      <c r="H34" s="7" t="s">
        <v>95</v>
      </c>
      <c r="I34" s="1">
        <v>141</v>
      </c>
      <c r="J34" s="1">
        <v>1.9279999999999999</v>
      </c>
      <c r="K34" s="1">
        <v>1.877</v>
      </c>
      <c r="L34" s="1">
        <v>3286</v>
      </c>
      <c r="M34" s="1">
        <v>15.5</v>
      </c>
      <c r="N34" s="1">
        <v>17.033999999999999</v>
      </c>
      <c r="O34" s="14">
        <f t="shared" si="2"/>
        <v>9.8967741935483744E-2</v>
      </c>
      <c r="P34" s="34">
        <f t="shared" si="1"/>
        <v>1.0401704199634816</v>
      </c>
    </row>
    <row r="35" spans="2:16">
      <c r="B35" s="5" t="s">
        <v>33</v>
      </c>
      <c r="C35" s="99">
        <v>15</v>
      </c>
      <c r="D35" s="99">
        <v>35</v>
      </c>
      <c r="E35" s="6">
        <v>85</v>
      </c>
      <c r="F35" s="8">
        <v>169.74100000000001</v>
      </c>
      <c r="G35" s="8">
        <v>2.7050000000000001</v>
      </c>
      <c r="H35" s="6" t="s">
        <v>80</v>
      </c>
      <c r="I35" s="10">
        <v>125</v>
      </c>
      <c r="J35" s="10">
        <v>7.1639999999999997</v>
      </c>
      <c r="K35" s="8">
        <v>2.5089999999999999</v>
      </c>
      <c r="L35" s="8">
        <v>2111</v>
      </c>
      <c r="M35" s="1">
        <v>15.5</v>
      </c>
      <c r="N35" s="1"/>
      <c r="O35" s="14">
        <f t="shared" si="2"/>
        <v>-1</v>
      </c>
      <c r="P35" s="34">
        <f t="shared" si="1"/>
        <v>1.6191378493604927</v>
      </c>
    </row>
    <row r="36" spans="2:16">
      <c r="B36" s="5" t="s">
        <v>34</v>
      </c>
      <c r="C36" s="99"/>
      <c r="D36" s="99"/>
      <c r="E36" s="6">
        <v>77</v>
      </c>
      <c r="F36" s="8">
        <v>169.74100000000001</v>
      </c>
      <c r="G36" s="8">
        <v>2.7040000000000002</v>
      </c>
      <c r="H36" s="6" t="s">
        <v>81</v>
      </c>
      <c r="I36" s="10">
        <v>125</v>
      </c>
      <c r="J36" s="10">
        <v>7.2439999999999998</v>
      </c>
      <c r="K36" s="8">
        <v>2.5019999999999998</v>
      </c>
      <c r="L36" s="8">
        <v>2346</v>
      </c>
      <c r="M36" s="1">
        <v>15.5</v>
      </c>
      <c r="N36" s="1"/>
      <c r="O36" s="14">
        <f t="shared" si="2"/>
        <v>-1</v>
      </c>
      <c r="P36" s="34">
        <f t="shared" si="1"/>
        <v>1.4569479965899403</v>
      </c>
    </row>
    <row r="37" spans="2:16">
      <c r="B37" s="5" t="s">
        <v>35</v>
      </c>
      <c r="C37" s="99"/>
      <c r="D37" s="99"/>
      <c r="E37" s="6">
        <v>72.099999999999994</v>
      </c>
      <c r="F37" s="8">
        <v>169.74100000000001</v>
      </c>
      <c r="G37" s="8">
        <v>2.7069999999999999</v>
      </c>
      <c r="H37" s="6" t="s">
        <v>82</v>
      </c>
      <c r="I37" s="10">
        <v>125</v>
      </c>
      <c r="J37" s="10">
        <v>7.0679999999999996</v>
      </c>
      <c r="K37" s="8">
        <v>2.5169999999999999</v>
      </c>
      <c r="L37" s="8">
        <v>2507</v>
      </c>
      <c r="M37" s="1">
        <v>15.5</v>
      </c>
      <c r="N37" s="1"/>
      <c r="O37" s="14">
        <f t="shared" si="2"/>
        <v>-1</v>
      </c>
      <c r="P37" s="34">
        <f t="shared" si="1"/>
        <v>1.3633825289190269</v>
      </c>
    </row>
    <row r="38" spans="2:16">
      <c r="B38" s="5" t="s">
        <v>36</v>
      </c>
      <c r="C38" s="99"/>
      <c r="D38" s="99"/>
      <c r="E38" s="6">
        <v>65</v>
      </c>
      <c r="F38" s="8">
        <v>169.74100000000001</v>
      </c>
      <c r="G38" s="8">
        <v>2.7069999999999999</v>
      </c>
      <c r="H38" s="6" t="s">
        <v>83</v>
      </c>
      <c r="I38" s="10">
        <v>125</v>
      </c>
      <c r="J38" s="10">
        <v>7.07</v>
      </c>
      <c r="K38" s="8">
        <v>2.5179999999999998</v>
      </c>
      <c r="L38" s="8">
        <v>2771</v>
      </c>
      <c r="M38" s="1">
        <v>15.5</v>
      </c>
      <c r="N38" s="1"/>
      <c r="O38" s="14">
        <f t="shared" si="2"/>
        <v>-1</v>
      </c>
      <c r="P38" s="34">
        <f t="shared" si="1"/>
        <v>1.2334897149043669</v>
      </c>
    </row>
    <row r="39" spans="2:16">
      <c r="B39" s="9" t="s">
        <v>37</v>
      </c>
      <c r="C39" s="95">
        <v>12.5</v>
      </c>
      <c r="D39" s="95">
        <v>10.5</v>
      </c>
      <c r="E39" s="3">
        <v>85</v>
      </c>
      <c r="F39" s="3">
        <v>230.029</v>
      </c>
      <c r="G39" s="3">
        <v>4.407</v>
      </c>
      <c r="H39" s="3" t="s">
        <v>69</v>
      </c>
      <c r="I39" s="3">
        <v>190</v>
      </c>
      <c r="J39" s="3">
        <v>3.157</v>
      </c>
      <c r="K39" s="3">
        <v>1.5309999999999999</v>
      </c>
      <c r="L39" s="1">
        <v>3175</v>
      </c>
      <c r="M39" s="1">
        <v>15.5</v>
      </c>
      <c r="N39" s="1"/>
      <c r="O39" s="14">
        <f t="shared" si="2"/>
        <v>-1</v>
      </c>
      <c r="P39" s="34">
        <f t="shared" si="1"/>
        <v>1.0765354330708663</v>
      </c>
    </row>
    <row r="40" spans="2:16">
      <c r="B40" s="9" t="s">
        <v>38</v>
      </c>
      <c r="C40" s="95"/>
      <c r="D40" s="95"/>
      <c r="E40" s="3">
        <v>77</v>
      </c>
      <c r="F40" s="3">
        <v>230.029</v>
      </c>
      <c r="G40" s="3">
        <v>4.4029999999999996</v>
      </c>
      <c r="H40" s="3" t="s">
        <v>70</v>
      </c>
      <c r="I40" s="3">
        <v>190</v>
      </c>
      <c r="J40" s="3">
        <v>3.6880000000000002</v>
      </c>
      <c r="K40" s="3">
        <v>1.526</v>
      </c>
      <c r="L40" s="1">
        <v>3482</v>
      </c>
      <c r="M40" s="1">
        <v>15.5</v>
      </c>
      <c r="N40" s="1"/>
      <c r="O40" s="14">
        <f t="shared" si="2"/>
        <v>-1</v>
      </c>
      <c r="P40" s="34">
        <f t="shared" si="1"/>
        <v>0.98161975875933383</v>
      </c>
    </row>
    <row r="41" spans="2:16">
      <c r="B41" s="9" t="s">
        <v>39</v>
      </c>
      <c r="C41" s="95"/>
      <c r="D41" s="95"/>
      <c r="E41" s="3">
        <v>72.099999999999994</v>
      </c>
      <c r="F41" s="3">
        <v>230.029</v>
      </c>
      <c r="G41" s="3">
        <v>4.3920000000000003</v>
      </c>
      <c r="H41" s="3" t="s">
        <v>71</v>
      </c>
      <c r="I41" s="3">
        <v>190</v>
      </c>
      <c r="J41" s="3">
        <v>5.2409999999999997</v>
      </c>
      <c r="K41" s="3">
        <v>1.5129999999999999</v>
      </c>
      <c r="L41" s="1">
        <v>3695</v>
      </c>
      <c r="M41" s="1">
        <v>15.5</v>
      </c>
      <c r="N41" s="1"/>
      <c r="O41" s="14">
        <f t="shared" si="2"/>
        <v>-1</v>
      </c>
      <c r="P41" s="34">
        <f t="shared" si="1"/>
        <v>0.92503382949932345</v>
      </c>
    </row>
    <row r="42" spans="2:16">
      <c r="B42" s="9" t="s">
        <v>40</v>
      </c>
      <c r="C42" s="95"/>
      <c r="D42" s="95"/>
      <c r="E42" s="3">
        <v>65</v>
      </c>
      <c r="F42" s="12" t="s">
        <v>68</v>
      </c>
      <c r="G42" s="12" t="s">
        <v>68</v>
      </c>
      <c r="H42" s="12" t="s">
        <v>68</v>
      </c>
      <c r="I42" s="12" t="s">
        <v>68</v>
      </c>
      <c r="J42" s="12" t="s">
        <v>68</v>
      </c>
      <c r="K42" s="12" t="s">
        <v>68</v>
      </c>
      <c r="L42" s="12" t="s">
        <v>68</v>
      </c>
      <c r="M42" s="12" t="s">
        <v>68</v>
      </c>
      <c r="N42" s="12" t="s">
        <v>68</v>
      </c>
      <c r="O42" s="12" t="s">
        <v>68</v>
      </c>
      <c r="P42" s="34" t="e">
        <f t="shared" si="1"/>
        <v>#VALUE!</v>
      </c>
    </row>
    <row r="43" spans="2:16">
      <c r="B43" s="5" t="s">
        <v>41</v>
      </c>
      <c r="C43" s="99">
        <v>12.5</v>
      </c>
      <c r="D43" s="99">
        <v>20</v>
      </c>
      <c r="E43" s="6">
        <v>85</v>
      </c>
      <c r="F43" s="3">
        <v>230.029</v>
      </c>
      <c r="G43" s="6">
        <v>3.6669999999999998</v>
      </c>
      <c r="H43" s="6" t="s">
        <v>100</v>
      </c>
      <c r="I43" s="6">
        <v>178</v>
      </c>
      <c r="J43" s="6">
        <v>0.89500000000000002</v>
      </c>
      <c r="K43" s="6">
        <v>2.137</v>
      </c>
      <c r="L43" s="8">
        <v>2615</v>
      </c>
      <c r="M43" s="1">
        <v>15.5</v>
      </c>
      <c r="N43" s="1">
        <v>17.035</v>
      </c>
      <c r="O43" s="14">
        <f t="shared" si="2"/>
        <v>9.903225806451621E-2</v>
      </c>
      <c r="P43" s="34">
        <f t="shared" si="1"/>
        <v>1.3070745697896748</v>
      </c>
    </row>
    <row r="44" spans="2:16">
      <c r="B44" s="5" t="s">
        <v>42</v>
      </c>
      <c r="C44" s="99"/>
      <c r="D44" s="99"/>
      <c r="E44" s="6">
        <v>77</v>
      </c>
      <c r="F44" s="3">
        <v>230.029</v>
      </c>
      <c r="G44" s="6">
        <v>3.67</v>
      </c>
      <c r="H44" s="6" t="s">
        <v>101</v>
      </c>
      <c r="I44" s="6">
        <v>178</v>
      </c>
      <c r="J44" s="6">
        <v>1.6E-2</v>
      </c>
      <c r="K44" s="6">
        <v>2.1440000000000001</v>
      </c>
      <c r="L44" s="8">
        <v>2883</v>
      </c>
      <c r="M44" s="1">
        <v>15.5</v>
      </c>
      <c r="N44" s="1">
        <v>17.045000000000002</v>
      </c>
      <c r="O44" s="14">
        <f t="shared" si="2"/>
        <v>9.967741935483887E-2</v>
      </c>
      <c r="P44" s="34">
        <f t="shared" si="1"/>
        <v>1.1855705861949359</v>
      </c>
    </row>
    <row r="45" spans="2:16">
      <c r="B45" s="5" t="s">
        <v>43</v>
      </c>
      <c r="C45" s="99"/>
      <c r="D45" s="99"/>
      <c r="E45" s="6">
        <v>72.099999999999994</v>
      </c>
      <c r="F45" s="3">
        <v>230.029</v>
      </c>
      <c r="G45" s="6">
        <v>3.6589999999999998</v>
      </c>
      <c r="H45" s="6" t="s">
        <v>102</v>
      </c>
      <c r="I45" s="6">
        <v>178</v>
      </c>
      <c r="J45" s="6">
        <v>2.476</v>
      </c>
      <c r="K45" s="6">
        <v>2.1240000000000001</v>
      </c>
      <c r="L45" s="8">
        <v>3070</v>
      </c>
      <c r="M45" s="1">
        <v>15.5</v>
      </c>
      <c r="N45" s="1">
        <v>17.009</v>
      </c>
      <c r="O45" s="14">
        <f t="shared" si="2"/>
        <v>9.7354838709677427E-2</v>
      </c>
      <c r="P45" s="34">
        <f t="shared" si="1"/>
        <v>1.1133550488599349</v>
      </c>
    </row>
    <row r="46" spans="2:16">
      <c r="B46" s="5" t="s">
        <v>44</v>
      </c>
      <c r="C46" s="99"/>
      <c r="D46" s="99"/>
      <c r="E46" s="6">
        <v>65</v>
      </c>
      <c r="F46" s="3">
        <v>230.029</v>
      </c>
      <c r="G46" s="6">
        <v>3.661</v>
      </c>
      <c r="H46" s="6" t="s">
        <v>67</v>
      </c>
      <c r="I46" s="6">
        <v>178</v>
      </c>
      <c r="J46" s="6">
        <v>2.2589999999999999</v>
      </c>
      <c r="K46" s="6">
        <v>2.1259999999999999</v>
      </c>
      <c r="L46" s="8">
        <v>3367</v>
      </c>
      <c r="M46" s="1">
        <v>15.5</v>
      </c>
      <c r="N46" s="1">
        <v>17.016999999999999</v>
      </c>
      <c r="O46" s="14">
        <f t="shared" si="2"/>
        <v>9.7870967741935377E-2</v>
      </c>
      <c r="P46" s="34">
        <f t="shared" si="1"/>
        <v>1.0151470151470152</v>
      </c>
    </row>
    <row r="47" spans="2:16">
      <c r="B47" s="9" t="s">
        <v>45</v>
      </c>
      <c r="C47" s="95">
        <v>12.5</v>
      </c>
      <c r="D47" s="95">
        <v>35</v>
      </c>
      <c r="E47" s="3">
        <v>85</v>
      </c>
      <c r="F47" s="3">
        <v>230.029</v>
      </c>
      <c r="G47" s="3">
        <v>3.2559999999999998</v>
      </c>
      <c r="H47" s="4" t="s">
        <v>76</v>
      </c>
      <c r="I47" s="3">
        <v>171</v>
      </c>
      <c r="J47" s="3">
        <v>0.65</v>
      </c>
      <c r="K47" s="3">
        <v>2.835</v>
      </c>
      <c r="L47" s="1">
        <v>2180</v>
      </c>
      <c r="M47" s="1">
        <v>15.5</v>
      </c>
      <c r="N47" s="1"/>
      <c r="O47" s="14">
        <f t="shared" si="2"/>
        <v>-1</v>
      </c>
      <c r="P47" s="34">
        <f t="shared" si="1"/>
        <v>1.5678899082568807</v>
      </c>
    </row>
    <row r="48" spans="2:16">
      <c r="B48" s="9" t="s">
        <v>46</v>
      </c>
      <c r="C48" s="95"/>
      <c r="D48" s="95"/>
      <c r="E48" s="3">
        <v>77</v>
      </c>
      <c r="F48" s="3">
        <v>230.029</v>
      </c>
      <c r="G48" s="3">
        <v>3.2559999999999998</v>
      </c>
      <c r="H48" s="3" t="s">
        <v>77</v>
      </c>
      <c r="I48" s="3">
        <v>171</v>
      </c>
      <c r="J48" s="3">
        <v>0.70599999999999996</v>
      </c>
      <c r="K48" s="3">
        <v>2.8359999999999999</v>
      </c>
      <c r="L48" s="1">
        <v>2420</v>
      </c>
      <c r="M48" s="1">
        <v>15.5</v>
      </c>
      <c r="N48" s="1"/>
      <c r="O48" s="14">
        <f t="shared" si="2"/>
        <v>-1</v>
      </c>
      <c r="P48" s="34">
        <f t="shared" si="1"/>
        <v>1.4123966942148762</v>
      </c>
    </row>
    <row r="49" spans="2:16">
      <c r="B49" s="9" t="s">
        <v>47</v>
      </c>
      <c r="C49" s="95"/>
      <c r="D49" s="95"/>
      <c r="E49" s="3">
        <v>72.099999999999994</v>
      </c>
      <c r="F49" s="3">
        <v>230.029</v>
      </c>
      <c r="G49" s="3">
        <v>3.2519999999999998</v>
      </c>
      <c r="H49" s="3" t="s">
        <v>78</v>
      </c>
      <c r="I49" s="3">
        <v>171</v>
      </c>
      <c r="J49" s="3">
        <v>1.278</v>
      </c>
      <c r="K49" s="3">
        <v>2.823</v>
      </c>
      <c r="L49" s="1">
        <v>2587</v>
      </c>
      <c r="M49" s="1">
        <v>15.5</v>
      </c>
      <c r="N49" s="1"/>
      <c r="O49" s="14">
        <f t="shared" si="2"/>
        <v>-1</v>
      </c>
      <c r="P49" s="34">
        <f t="shared" si="1"/>
        <v>1.3212214920757634</v>
      </c>
    </row>
    <row r="50" spans="2:16">
      <c r="B50" s="9" t="s">
        <v>48</v>
      </c>
      <c r="C50" s="95"/>
      <c r="D50" s="95"/>
      <c r="E50" s="3">
        <v>65</v>
      </c>
      <c r="F50" s="3">
        <v>230.029</v>
      </c>
      <c r="G50" s="3">
        <v>3.2509999999999999</v>
      </c>
      <c r="H50" s="3" t="s">
        <v>79</v>
      </c>
      <c r="I50" s="3">
        <v>171</v>
      </c>
      <c r="J50" s="3">
        <v>1.6559999999999999</v>
      </c>
      <c r="K50" s="3">
        <v>2.82</v>
      </c>
      <c r="L50" s="1">
        <v>2856</v>
      </c>
      <c r="M50" s="1">
        <v>15.5</v>
      </c>
      <c r="N50" s="1"/>
      <c r="O50" s="14">
        <f t="shared" si="2"/>
        <v>-1</v>
      </c>
      <c r="P50" s="34">
        <f t="shared" si="1"/>
        <v>1.1967787114845938</v>
      </c>
    </row>
    <row r="51" spans="2:16">
      <c r="B51" s="5" t="s">
        <v>49</v>
      </c>
      <c r="C51" s="97">
        <v>10</v>
      </c>
      <c r="D51" s="97">
        <v>10.5</v>
      </c>
      <c r="E51" s="22">
        <v>85</v>
      </c>
      <c r="F51" s="22">
        <v>333.68099999999998</v>
      </c>
      <c r="G51" s="22">
        <v>5.6079999999999997</v>
      </c>
      <c r="H51" s="22" t="s">
        <v>115</v>
      </c>
      <c r="I51" s="22">
        <v>251</v>
      </c>
      <c r="J51" s="22">
        <v>2.0049999999999999</v>
      </c>
      <c r="K51" s="22">
        <v>1.845</v>
      </c>
      <c r="L51" s="22">
        <v>3204</v>
      </c>
      <c r="M51" s="22">
        <v>15.5</v>
      </c>
      <c r="N51" s="22">
        <v>17.036000000000001</v>
      </c>
      <c r="O51" s="86">
        <f t="shared" si="2"/>
        <v>9.9096774193548454E-2</v>
      </c>
      <c r="P51" s="34">
        <f t="shared" si="1"/>
        <v>1.0667915106117354</v>
      </c>
    </row>
    <row r="52" spans="2:16">
      <c r="B52" s="5" t="s">
        <v>50</v>
      </c>
      <c r="C52" s="97"/>
      <c r="D52" s="97"/>
      <c r="E52" s="22">
        <v>77</v>
      </c>
      <c r="F52" s="22">
        <v>333.68099999999998</v>
      </c>
      <c r="G52" s="22">
        <v>5.6139999999999999</v>
      </c>
      <c r="H52" s="22" t="s">
        <v>116</v>
      </c>
      <c r="I52" s="22">
        <v>251</v>
      </c>
      <c r="J52" s="22">
        <v>0.28299999999999997</v>
      </c>
      <c r="K52" s="22">
        <v>1.8520000000000001</v>
      </c>
      <c r="L52" s="22">
        <v>3509</v>
      </c>
      <c r="M52" s="22">
        <v>15.5</v>
      </c>
      <c r="N52" s="22">
        <v>17.047999999999998</v>
      </c>
      <c r="O52" s="86">
        <f t="shared" si="2"/>
        <v>9.9870967741935379E-2</v>
      </c>
      <c r="P52" s="34">
        <f t="shared" si="1"/>
        <v>0.97406668566543175</v>
      </c>
    </row>
    <row r="53" spans="2:16">
      <c r="B53" s="5" t="s">
        <v>51</v>
      </c>
      <c r="C53" s="97"/>
      <c r="D53" s="97"/>
      <c r="E53" s="22">
        <v>72.099999999999994</v>
      </c>
      <c r="F53" s="12" t="s">
        <v>68</v>
      </c>
      <c r="G53" s="12" t="s">
        <v>68</v>
      </c>
      <c r="H53" s="12" t="s">
        <v>68</v>
      </c>
      <c r="I53" s="12" t="s">
        <v>68</v>
      </c>
      <c r="J53" s="12" t="s">
        <v>68</v>
      </c>
      <c r="K53" s="12" t="s">
        <v>68</v>
      </c>
      <c r="L53" s="12" t="s">
        <v>68</v>
      </c>
      <c r="M53" s="12" t="s">
        <v>68</v>
      </c>
      <c r="N53" s="12" t="s">
        <v>68</v>
      </c>
      <c r="O53" s="12" t="s">
        <v>68</v>
      </c>
      <c r="P53" s="34" t="e">
        <f t="shared" si="1"/>
        <v>#VALUE!</v>
      </c>
    </row>
    <row r="54" spans="2:16">
      <c r="B54" s="5" t="s">
        <v>52</v>
      </c>
      <c r="C54" s="97"/>
      <c r="D54" s="97"/>
      <c r="E54" s="22">
        <v>65</v>
      </c>
      <c r="F54" s="12" t="s">
        <v>68</v>
      </c>
      <c r="G54" s="12" t="s">
        <v>68</v>
      </c>
      <c r="H54" s="12" t="s">
        <v>68</v>
      </c>
      <c r="I54" s="12" t="s">
        <v>68</v>
      </c>
      <c r="J54" s="12" t="s">
        <v>68</v>
      </c>
      <c r="K54" s="12" t="s">
        <v>68</v>
      </c>
      <c r="L54" s="12" t="s">
        <v>68</v>
      </c>
      <c r="M54" s="12" t="s">
        <v>68</v>
      </c>
      <c r="N54" s="12" t="s">
        <v>68</v>
      </c>
      <c r="O54" s="12" t="s">
        <v>68</v>
      </c>
      <c r="P54" s="34" t="e">
        <f t="shared" si="1"/>
        <v>#VALUE!</v>
      </c>
    </row>
    <row r="55" spans="2:16">
      <c r="B55" s="9" t="s">
        <v>53</v>
      </c>
      <c r="C55" s="98">
        <v>10</v>
      </c>
      <c r="D55" s="98">
        <v>20</v>
      </c>
      <c r="E55" s="19">
        <v>85</v>
      </c>
      <c r="F55" s="20">
        <v>333.68099999999998</v>
      </c>
      <c r="G55" s="20">
        <v>4.5999999999999996</v>
      </c>
      <c r="H55" s="19" t="s">
        <v>111</v>
      </c>
      <c r="I55" s="20">
        <v>236</v>
      </c>
      <c r="J55" s="20">
        <v>2.6120000000000001</v>
      </c>
      <c r="K55" s="20">
        <v>2.5059999999999998</v>
      </c>
      <c r="L55" s="20">
        <v>2679</v>
      </c>
      <c r="M55" s="20">
        <v>15.5</v>
      </c>
      <c r="N55" s="20">
        <v>17.010000000000002</v>
      </c>
      <c r="O55" s="21">
        <f t="shared" si="2"/>
        <v>9.7419354838709671E-2</v>
      </c>
      <c r="P55" s="34">
        <f t="shared" si="1"/>
        <v>1.2758491974617396</v>
      </c>
    </row>
    <row r="56" spans="2:16">
      <c r="B56" s="9" t="s">
        <v>54</v>
      </c>
      <c r="C56" s="98"/>
      <c r="D56" s="98"/>
      <c r="E56" s="19">
        <v>77</v>
      </c>
      <c r="F56" s="20">
        <v>333.68099999999998</v>
      </c>
      <c r="G56" s="20">
        <v>4.5970000000000004</v>
      </c>
      <c r="H56" s="19" t="s">
        <v>112</v>
      </c>
      <c r="I56" s="20">
        <v>236</v>
      </c>
      <c r="J56" s="20">
        <v>3.036</v>
      </c>
      <c r="K56" s="20">
        <v>2.5009999999999999</v>
      </c>
      <c r="L56" s="20">
        <v>2953</v>
      </c>
      <c r="M56" s="20">
        <v>15.5</v>
      </c>
      <c r="N56" s="20">
        <v>17</v>
      </c>
      <c r="O56" s="21">
        <f t="shared" si="2"/>
        <v>9.6774193548387011E-2</v>
      </c>
      <c r="P56" s="34">
        <f t="shared" si="1"/>
        <v>1.1574669827294277</v>
      </c>
    </row>
    <row r="57" spans="2:16">
      <c r="B57" s="9" t="s">
        <v>55</v>
      </c>
      <c r="C57" s="98"/>
      <c r="D57" s="98"/>
      <c r="E57" s="19">
        <v>72.099999999999994</v>
      </c>
      <c r="F57" s="20">
        <v>333.68099999999998</v>
      </c>
      <c r="G57" s="20">
        <v>4.593</v>
      </c>
      <c r="H57" s="19" t="s">
        <v>113</v>
      </c>
      <c r="I57" s="20">
        <v>236</v>
      </c>
      <c r="J57" s="20">
        <v>3.5979999999999999</v>
      </c>
      <c r="K57" s="20">
        <v>2.492</v>
      </c>
      <c r="L57" s="20">
        <v>3140</v>
      </c>
      <c r="M57" s="20">
        <v>15.5</v>
      </c>
      <c r="N57" s="20">
        <v>16.986000000000001</v>
      </c>
      <c r="O57" s="21">
        <f t="shared" si="2"/>
        <v>9.5870967741935598E-2</v>
      </c>
      <c r="P57" s="34">
        <f t="shared" si="1"/>
        <v>1.0885350318471336</v>
      </c>
    </row>
    <row r="58" spans="2:16">
      <c r="B58" s="9" t="s">
        <v>56</v>
      </c>
      <c r="C58" s="98"/>
      <c r="D58" s="98"/>
      <c r="E58" s="19">
        <v>65</v>
      </c>
      <c r="F58" s="20">
        <v>333.68099999999998</v>
      </c>
      <c r="G58" s="20">
        <v>4.6109999999999998</v>
      </c>
      <c r="H58" s="19" t="s">
        <v>114</v>
      </c>
      <c r="I58" s="20">
        <v>236</v>
      </c>
      <c r="J58" s="20">
        <v>0.48799999999999999</v>
      </c>
      <c r="K58" s="20">
        <v>2.5179999999999998</v>
      </c>
      <c r="L58" s="20">
        <v>3438</v>
      </c>
      <c r="M58" s="20">
        <v>15.5</v>
      </c>
      <c r="N58" s="20">
        <v>17.045999999999999</v>
      </c>
      <c r="O58" s="21">
        <f t="shared" si="2"/>
        <v>9.9741935483870892E-2</v>
      </c>
      <c r="P58" s="34">
        <f t="shared" si="1"/>
        <v>0.99418266433973246</v>
      </c>
    </row>
    <row r="59" spans="2:16">
      <c r="B59" s="5" t="s">
        <v>57</v>
      </c>
      <c r="C59" s="97">
        <v>10</v>
      </c>
      <c r="D59" s="97">
        <v>35</v>
      </c>
      <c r="E59" s="22">
        <v>85</v>
      </c>
      <c r="F59" s="23">
        <v>333.68099999999998</v>
      </c>
      <c r="G59" s="23">
        <v>4.0609999999999999</v>
      </c>
      <c r="H59" s="22" t="s">
        <v>72</v>
      </c>
      <c r="I59" s="23">
        <v>227</v>
      </c>
      <c r="J59" s="23">
        <v>1.1850000000000001</v>
      </c>
      <c r="K59" s="23">
        <v>3.302</v>
      </c>
      <c r="L59" s="23">
        <v>2251</v>
      </c>
      <c r="M59" s="23">
        <v>15.5</v>
      </c>
      <c r="N59" s="23"/>
      <c r="O59" s="24">
        <f t="shared" si="2"/>
        <v>-1</v>
      </c>
      <c r="P59" s="34">
        <f t="shared" si="1"/>
        <v>1.5184362505553088</v>
      </c>
    </row>
    <row r="60" spans="2:16">
      <c r="B60" s="5" t="s">
        <v>58</v>
      </c>
      <c r="C60" s="97"/>
      <c r="D60" s="97"/>
      <c r="E60" s="22">
        <v>77</v>
      </c>
      <c r="F60" s="23">
        <v>333.68099999999998</v>
      </c>
      <c r="G60" s="23">
        <v>4.0609999999999999</v>
      </c>
      <c r="H60" s="22" t="s">
        <v>73</v>
      </c>
      <c r="I60" s="23">
        <v>227</v>
      </c>
      <c r="J60" s="23">
        <v>1.2050000000000001</v>
      </c>
      <c r="K60" s="23">
        <v>3.3029999999999999</v>
      </c>
      <c r="L60" s="23">
        <v>2497</v>
      </c>
      <c r="M60" s="23">
        <v>15.5</v>
      </c>
      <c r="N60" s="23"/>
      <c r="O60" s="24">
        <f t="shared" si="2"/>
        <v>-1</v>
      </c>
      <c r="P60" s="34">
        <f t="shared" si="1"/>
        <v>1.3688426111333603</v>
      </c>
    </row>
    <row r="61" spans="2:16">
      <c r="B61" s="5" t="s">
        <v>59</v>
      </c>
      <c r="C61" s="97"/>
      <c r="D61" s="97"/>
      <c r="E61" s="22">
        <v>72.099999999999994</v>
      </c>
      <c r="F61" s="23">
        <v>333.68099999999998</v>
      </c>
      <c r="G61" s="23">
        <v>4.0579999999999998</v>
      </c>
      <c r="H61" s="22" t="s">
        <v>74</v>
      </c>
      <c r="I61" s="23">
        <v>227</v>
      </c>
      <c r="J61" s="23">
        <v>1.7010000000000001</v>
      </c>
      <c r="K61" s="23">
        <v>3.298</v>
      </c>
      <c r="L61" s="23">
        <v>2665</v>
      </c>
      <c r="M61" s="23">
        <v>15.5</v>
      </c>
      <c r="N61" s="23"/>
      <c r="O61" s="24">
        <f t="shared" si="2"/>
        <v>-1</v>
      </c>
      <c r="P61" s="34">
        <f t="shared" si="1"/>
        <v>1.2825515947467168</v>
      </c>
    </row>
    <row r="62" spans="2:16">
      <c r="B62" s="5" t="s">
        <v>60</v>
      </c>
      <c r="C62" s="97"/>
      <c r="D62" s="97"/>
      <c r="E62" s="22">
        <v>65</v>
      </c>
      <c r="F62" s="23">
        <v>333.68099999999998</v>
      </c>
      <c r="G62" s="23">
        <v>4.0579999999999998</v>
      </c>
      <c r="H62" s="22" t="s">
        <v>75</v>
      </c>
      <c r="I62" s="23">
        <v>227</v>
      </c>
      <c r="J62" s="23">
        <v>1.871</v>
      </c>
      <c r="K62" s="23">
        <v>3.2909999999999999</v>
      </c>
      <c r="L62" s="23">
        <v>2939</v>
      </c>
      <c r="M62" s="23">
        <v>15.5</v>
      </c>
      <c r="N62" s="23"/>
      <c r="O62" s="24">
        <f t="shared" si="2"/>
        <v>-1</v>
      </c>
      <c r="P62" s="34">
        <f t="shared" si="1"/>
        <v>1.1629806056481797</v>
      </c>
    </row>
    <row r="65" spans="2:17">
      <c r="B65" s="5" t="s">
        <v>0</v>
      </c>
      <c r="C65" s="5" t="s">
        <v>8</v>
      </c>
      <c r="D65" s="5" t="s">
        <v>9</v>
      </c>
      <c r="E65" s="5" t="s">
        <v>17</v>
      </c>
      <c r="F65" s="5" t="s">
        <v>10</v>
      </c>
      <c r="G65" s="5" t="s">
        <v>11</v>
      </c>
      <c r="H65" s="5" t="s">
        <v>19</v>
      </c>
      <c r="I65" s="5" t="s">
        <v>13</v>
      </c>
      <c r="J65" s="5" t="s">
        <v>18</v>
      </c>
      <c r="K65" s="5" t="s">
        <v>12</v>
      </c>
      <c r="L65" s="5" t="s">
        <v>88</v>
      </c>
      <c r="M65" s="5" t="s">
        <v>90</v>
      </c>
      <c r="N65" s="5" t="s">
        <v>91</v>
      </c>
      <c r="O65" s="5" t="s">
        <v>92</v>
      </c>
    </row>
    <row r="66" spans="2:17">
      <c r="B66" s="9" t="s">
        <v>1</v>
      </c>
      <c r="C66" s="95">
        <v>15</v>
      </c>
      <c r="D66" s="96">
        <v>10.5</v>
      </c>
      <c r="E66" s="15">
        <v>85</v>
      </c>
      <c r="F66" s="15">
        <v>169.74100000000001</v>
      </c>
      <c r="G66" s="15">
        <v>3.5979999999999999</v>
      </c>
      <c r="H66" s="15" t="s">
        <v>65</v>
      </c>
      <c r="I66" s="15">
        <v>152</v>
      </c>
      <c r="J66" s="15">
        <v>0.93700000000000006</v>
      </c>
      <c r="K66" s="15">
        <v>1.3280000000000001</v>
      </c>
      <c r="L66" s="15">
        <v>3124</v>
      </c>
      <c r="M66" s="15">
        <v>15.5</v>
      </c>
      <c r="N66" s="15">
        <v>17.024000000000001</v>
      </c>
      <c r="O66" s="16">
        <f t="shared" ref="O66:O75" si="3">(N66/M66)-1</f>
        <v>9.8322580645161306E-2</v>
      </c>
    </row>
    <row r="67" spans="2:17">
      <c r="B67" s="9" t="s">
        <v>2</v>
      </c>
      <c r="C67" s="95"/>
      <c r="D67" s="96"/>
      <c r="E67" s="15">
        <v>85</v>
      </c>
      <c r="F67" s="15">
        <v>131.41300000000001</v>
      </c>
      <c r="G67" s="15">
        <v>2.5590000000000002</v>
      </c>
      <c r="H67" s="15" t="s">
        <v>107</v>
      </c>
      <c r="I67" s="15">
        <v>151</v>
      </c>
      <c r="J67" s="15">
        <v>0.42399999999999999</v>
      </c>
      <c r="K67" s="15">
        <v>1.488</v>
      </c>
      <c r="L67" s="15">
        <v>2812</v>
      </c>
      <c r="M67" s="15">
        <v>12</v>
      </c>
      <c r="N67" s="15">
        <v>13.176</v>
      </c>
      <c r="O67" s="16">
        <f t="shared" si="3"/>
        <v>9.8000000000000087E-2</v>
      </c>
    </row>
    <row r="68" spans="2:17">
      <c r="B68" s="9" t="s">
        <v>3</v>
      </c>
      <c r="C68" s="95"/>
      <c r="D68" s="96"/>
      <c r="E68" s="15">
        <v>85</v>
      </c>
      <c r="F68" s="15">
        <v>109.511</v>
      </c>
      <c r="G68" s="15">
        <v>2.0310000000000001</v>
      </c>
      <c r="H68" s="15" t="s">
        <v>108</v>
      </c>
      <c r="I68" s="15">
        <v>148</v>
      </c>
      <c r="J68" s="15">
        <v>1.47</v>
      </c>
      <c r="K68" s="15">
        <v>1.6319999999999999</v>
      </c>
      <c r="L68" s="15">
        <v>2604</v>
      </c>
      <c r="M68" s="15">
        <v>10</v>
      </c>
      <c r="N68" s="15">
        <v>11</v>
      </c>
      <c r="O68" s="16">
        <f t="shared" si="3"/>
        <v>0.10000000000000009</v>
      </c>
    </row>
    <row r="69" spans="2:17">
      <c r="B69" s="9" t="s">
        <v>4</v>
      </c>
      <c r="C69" s="95"/>
      <c r="D69" s="96"/>
      <c r="E69" s="15">
        <v>85</v>
      </c>
      <c r="F69" s="15">
        <v>87.608000000000004</v>
      </c>
      <c r="G69" s="15">
        <v>1.532</v>
      </c>
      <c r="H69" s="15" t="s">
        <v>109</v>
      </c>
      <c r="I69" s="15">
        <v>147</v>
      </c>
      <c r="J69" s="15">
        <v>1.599</v>
      </c>
      <c r="K69" s="15">
        <v>1.8029999999999999</v>
      </c>
      <c r="L69" s="15">
        <v>2370</v>
      </c>
      <c r="M69" s="15">
        <v>8</v>
      </c>
      <c r="N69" s="15">
        <v>8.7899999999999991</v>
      </c>
      <c r="O69" s="16">
        <f t="shared" si="3"/>
        <v>9.8749999999999893E-2</v>
      </c>
    </row>
    <row r="70" spans="2:17">
      <c r="B70" s="9" t="s">
        <v>5</v>
      </c>
      <c r="C70" s="95"/>
      <c r="D70" s="96"/>
      <c r="E70" s="15">
        <v>85</v>
      </c>
      <c r="F70" s="15">
        <v>54.755000000000003</v>
      </c>
      <c r="G70" s="15">
        <v>0.86699999999999999</v>
      </c>
      <c r="H70" s="15" t="s">
        <v>110</v>
      </c>
      <c r="I70" s="15">
        <v>145</v>
      </c>
      <c r="J70" s="15">
        <v>0.12</v>
      </c>
      <c r="K70" s="15">
        <v>2.258</v>
      </c>
      <c r="L70" s="15">
        <v>1929</v>
      </c>
      <c r="M70" s="15">
        <v>5</v>
      </c>
      <c r="N70" s="15">
        <v>5.4989999999999997</v>
      </c>
      <c r="O70" s="16">
        <f t="shared" si="3"/>
        <v>9.9799999999999889E-2</v>
      </c>
    </row>
    <row r="71" spans="2:17">
      <c r="B71" s="5" t="s">
        <v>6</v>
      </c>
      <c r="C71" s="95"/>
      <c r="D71" s="99">
        <v>20</v>
      </c>
      <c r="E71" s="17">
        <v>85</v>
      </c>
      <c r="F71" s="17">
        <v>169.74100000000001</v>
      </c>
      <c r="G71" s="17">
        <v>3.0230000000000001</v>
      </c>
      <c r="H71" s="17" t="s">
        <v>89</v>
      </c>
      <c r="I71" s="17">
        <v>141</v>
      </c>
      <c r="J71" s="17">
        <v>2.1749999999999998</v>
      </c>
      <c r="K71" s="17">
        <v>1.875</v>
      </c>
      <c r="L71" s="17">
        <v>2549</v>
      </c>
      <c r="M71" s="17">
        <v>15.5</v>
      </c>
      <c r="N71" s="17">
        <v>17.026</v>
      </c>
      <c r="O71" s="18">
        <f t="shared" si="3"/>
        <v>9.8451612903225794E-2</v>
      </c>
    </row>
    <row r="72" spans="2:17">
      <c r="B72" s="5" t="s">
        <v>7</v>
      </c>
      <c r="C72" s="95"/>
      <c r="D72" s="99"/>
      <c r="E72" s="17">
        <v>85</v>
      </c>
      <c r="F72" s="17">
        <v>131.41300000000001</v>
      </c>
      <c r="G72" s="17">
        <v>2.2080000000000002</v>
      </c>
      <c r="H72" s="17" t="s">
        <v>105</v>
      </c>
      <c r="I72" s="17">
        <v>140</v>
      </c>
      <c r="J72" s="17">
        <v>1.1339999999999999</v>
      </c>
      <c r="K72" s="17">
        <v>2.1179999999999999</v>
      </c>
      <c r="L72" s="17">
        <v>2284</v>
      </c>
      <c r="M72" s="17">
        <v>12</v>
      </c>
      <c r="N72" s="17">
        <v>13.191000000000001</v>
      </c>
      <c r="O72" s="18">
        <f t="shared" si="3"/>
        <v>9.925000000000006E-2</v>
      </c>
    </row>
    <row r="73" spans="2:17">
      <c r="B73" s="5" t="s">
        <v>20</v>
      </c>
      <c r="C73" s="95"/>
      <c r="D73" s="99"/>
      <c r="E73" s="17">
        <v>85</v>
      </c>
      <c r="F73" s="17">
        <v>109.511</v>
      </c>
      <c r="G73" s="17">
        <v>1.7729999999999999</v>
      </c>
      <c r="H73" s="17" t="s">
        <v>104</v>
      </c>
      <c r="I73" s="17">
        <v>139</v>
      </c>
      <c r="J73" s="17">
        <v>0.89400000000000002</v>
      </c>
      <c r="K73" s="17">
        <v>2.3119999999999998</v>
      </c>
      <c r="L73" s="17">
        <v>2108</v>
      </c>
      <c r="M73" s="17">
        <v>10</v>
      </c>
      <c r="N73" s="17">
        <v>10.991</v>
      </c>
      <c r="O73" s="18">
        <f t="shared" si="3"/>
        <v>9.9099999999999966E-2</v>
      </c>
    </row>
    <row r="74" spans="2:17">
      <c r="B74" s="5" t="s">
        <v>21</v>
      </c>
      <c r="C74" s="95"/>
      <c r="D74" s="99"/>
      <c r="E74" s="17">
        <v>85</v>
      </c>
      <c r="F74" s="17">
        <v>87.608000000000004</v>
      </c>
      <c r="G74" s="17">
        <v>1.3620000000000001</v>
      </c>
      <c r="H74" s="17" t="s">
        <v>103</v>
      </c>
      <c r="I74" s="17">
        <v>138</v>
      </c>
      <c r="J74" s="17">
        <v>1.054</v>
      </c>
      <c r="K74" s="17">
        <v>2.5739999999999998</v>
      </c>
      <c r="L74" s="17">
        <v>1913</v>
      </c>
      <c r="M74" s="17">
        <v>8</v>
      </c>
      <c r="N74" s="17">
        <v>8.7929999999999993</v>
      </c>
      <c r="O74" s="18">
        <f t="shared" si="3"/>
        <v>9.9124999999999908E-2</v>
      </c>
    </row>
    <row r="75" spans="2:17">
      <c r="B75" s="5" t="s">
        <v>22</v>
      </c>
      <c r="C75" s="95"/>
      <c r="D75" s="99"/>
      <c r="E75" s="17">
        <v>77</v>
      </c>
      <c r="F75" s="17">
        <v>54.755000000000003</v>
      </c>
      <c r="G75" s="17">
        <v>0.79300000000000004</v>
      </c>
      <c r="H75" s="17" t="s">
        <v>106</v>
      </c>
      <c r="I75" s="17">
        <v>136</v>
      </c>
      <c r="J75" s="17">
        <v>0.86199999999999999</v>
      </c>
      <c r="K75" s="17">
        <v>3.2370000000000001</v>
      </c>
      <c r="L75" s="17">
        <v>1714</v>
      </c>
      <c r="M75" s="17">
        <v>5</v>
      </c>
      <c r="N75" s="17">
        <v>5.4960000000000004</v>
      </c>
      <c r="O75" s="18">
        <f t="shared" si="3"/>
        <v>9.9200000000000177E-2</v>
      </c>
    </row>
    <row r="77" spans="2:17">
      <c r="B77" s="26" t="s">
        <v>122</v>
      </c>
    </row>
    <row r="78" spans="2:17">
      <c r="B78" s="5" t="s">
        <v>0</v>
      </c>
      <c r="C78" s="5" t="s">
        <v>8</v>
      </c>
      <c r="D78" s="5" t="s">
        <v>9</v>
      </c>
      <c r="E78" s="5" t="s">
        <v>17</v>
      </c>
      <c r="F78" s="5" t="s">
        <v>10</v>
      </c>
      <c r="G78" s="5" t="s">
        <v>11</v>
      </c>
      <c r="H78" s="5" t="s">
        <v>19</v>
      </c>
      <c r="I78" s="5" t="s">
        <v>13</v>
      </c>
      <c r="J78" s="5" t="s">
        <v>18</v>
      </c>
      <c r="K78" s="5" t="s">
        <v>12</v>
      </c>
      <c r="L78" s="5" t="s">
        <v>88</v>
      </c>
      <c r="M78" s="5" t="s">
        <v>90</v>
      </c>
      <c r="N78" s="5" t="s">
        <v>91</v>
      </c>
      <c r="O78" s="5" t="s">
        <v>92</v>
      </c>
      <c r="P78" s="5" t="s">
        <v>144</v>
      </c>
      <c r="Q78" s="5" t="s">
        <v>145</v>
      </c>
    </row>
    <row r="79" spans="2:17">
      <c r="B79" s="9" t="s">
        <v>1</v>
      </c>
      <c r="C79" s="100">
        <v>15</v>
      </c>
      <c r="D79" s="96">
        <v>10.5</v>
      </c>
      <c r="E79" s="15">
        <v>85</v>
      </c>
      <c r="F79" s="15">
        <v>54.755000000000003</v>
      </c>
      <c r="G79" s="15">
        <v>0.86699999999999999</v>
      </c>
      <c r="H79" s="15" t="s">
        <v>110</v>
      </c>
      <c r="I79" s="15">
        <v>145</v>
      </c>
      <c r="J79" s="15">
        <v>0.12</v>
      </c>
      <c r="K79" s="15">
        <v>2.258</v>
      </c>
      <c r="L79" s="15">
        <v>1929</v>
      </c>
      <c r="M79" s="15">
        <v>5</v>
      </c>
      <c r="N79" s="15">
        <v>5.4989999999999997</v>
      </c>
      <c r="O79" s="16">
        <f t="shared" ref="O79:O85" si="4">(N79/M79)-1</f>
        <v>9.9799999999999889E-2</v>
      </c>
      <c r="P79" s="33">
        <f>1000*((3.418/L79)+((10.731-3.418)/(2*L79)))</f>
        <v>3.6674442716433386</v>
      </c>
      <c r="Q79" s="32">
        <f>K79/P79</f>
        <v>0.61568761043183262</v>
      </c>
    </row>
    <row r="80" spans="2:17">
      <c r="B80" s="9" t="s">
        <v>2</v>
      </c>
      <c r="C80" s="101"/>
      <c r="D80" s="96"/>
      <c r="E80" s="1">
        <v>77</v>
      </c>
      <c r="F80" s="1">
        <v>54.755000000000003</v>
      </c>
      <c r="G80" s="1">
        <v>0.86499999999999999</v>
      </c>
      <c r="H80" s="3" t="s">
        <v>117</v>
      </c>
      <c r="I80" s="15">
        <v>145</v>
      </c>
      <c r="J80" s="1">
        <v>1.0129999999999999</v>
      </c>
      <c r="K80" s="1">
        <v>2.246</v>
      </c>
      <c r="L80" s="1">
        <v>2114</v>
      </c>
      <c r="M80" s="15">
        <v>5</v>
      </c>
      <c r="N80" s="1">
        <v>5.4950000000000001</v>
      </c>
      <c r="O80" s="16">
        <f t="shared" si="4"/>
        <v>9.8999999999999977E-2</v>
      </c>
      <c r="P80" s="33">
        <f t="shared" ref="P80:P112" si="5">1000*((3.418/L80)+((10.731-3.418)/(2*L80)))</f>
        <v>3.346499526963103</v>
      </c>
      <c r="Q80" s="32">
        <f t="shared" ref="Q80:Q112" si="6">K80/P80</f>
        <v>0.671149056470422</v>
      </c>
    </row>
    <row r="81" spans="2:17">
      <c r="B81" s="9" t="s">
        <v>3</v>
      </c>
      <c r="C81" s="101"/>
      <c r="D81" s="96"/>
      <c r="E81" s="1">
        <v>72.099999999999994</v>
      </c>
      <c r="F81" s="1">
        <v>54.755000000000003</v>
      </c>
      <c r="G81" s="1">
        <v>0.86499999999999999</v>
      </c>
      <c r="H81" s="3" t="s">
        <v>118</v>
      </c>
      <c r="I81" s="15">
        <v>145</v>
      </c>
      <c r="J81" s="1">
        <v>1.1140000000000001</v>
      </c>
      <c r="K81" s="1">
        <v>2.2469999999999999</v>
      </c>
      <c r="L81" s="1">
        <v>2237</v>
      </c>
      <c r="M81" s="15">
        <v>5</v>
      </c>
      <c r="N81" s="1">
        <v>5.4930000000000003</v>
      </c>
      <c r="O81" s="16">
        <f t="shared" si="4"/>
        <v>9.8600000000000021E-2</v>
      </c>
      <c r="P81" s="33">
        <f t="shared" si="5"/>
        <v>3.1624944121591421</v>
      </c>
      <c r="Q81" s="32">
        <f t="shared" si="6"/>
        <v>0.71051508940561159</v>
      </c>
    </row>
    <row r="82" spans="2:17">
      <c r="B82" s="9" t="s">
        <v>4</v>
      </c>
      <c r="C82" s="101"/>
      <c r="D82" s="96"/>
      <c r="E82" s="1">
        <v>65</v>
      </c>
      <c r="F82" s="1">
        <v>54.755000000000003</v>
      </c>
      <c r="G82" s="1">
        <v>0.86599999999999999</v>
      </c>
      <c r="H82" s="3" t="s">
        <v>119</v>
      </c>
      <c r="I82" s="15">
        <v>145</v>
      </c>
      <c r="J82" s="1">
        <v>0.82499999999999996</v>
      </c>
      <c r="K82" s="1">
        <v>2.25</v>
      </c>
      <c r="L82" s="1">
        <v>2428</v>
      </c>
      <c r="M82" s="15">
        <v>5</v>
      </c>
      <c r="N82" s="1">
        <v>5.4960000000000004</v>
      </c>
      <c r="O82" s="16">
        <f t="shared" si="4"/>
        <v>9.9200000000000177E-2</v>
      </c>
      <c r="P82" s="33">
        <f t="shared" si="5"/>
        <v>2.9137149917627676</v>
      </c>
      <c r="Q82" s="32">
        <f t="shared" si="6"/>
        <v>0.77221005018022482</v>
      </c>
    </row>
    <row r="83" spans="2:17">
      <c r="B83" s="9" t="s">
        <v>5</v>
      </c>
      <c r="C83" s="101"/>
      <c r="D83" s="96"/>
      <c r="E83" s="15">
        <v>85</v>
      </c>
      <c r="F83" s="15">
        <v>109.511</v>
      </c>
      <c r="G83" s="15">
        <v>2.0310000000000001</v>
      </c>
      <c r="H83" s="15" t="s">
        <v>108</v>
      </c>
      <c r="I83" s="15">
        <v>148</v>
      </c>
      <c r="J83" s="15">
        <v>1.47</v>
      </c>
      <c r="K83" s="15">
        <v>1.6319999999999999</v>
      </c>
      <c r="L83" s="15">
        <v>2604</v>
      </c>
      <c r="M83" s="15">
        <v>10</v>
      </c>
      <c r="N83" s="15">
        <v>11</v>
      </c>
      <c r="O83" s="16">
        <f t="shared" si="4"/>
        <v>0.10000000000000009</v>
      </c>
      <c r="P83" s="33">
        <f t="shared" si="5"/>
        <v>2.7167818740399383</v>
      </c>
      <c r="Q83" s="32">
        <f t="shared" si="6"/>
        <v>0.60071072160576722</v>
      </c>
    </row>
    <row r="84" spans="2:17">
      <c r="B84" s="9" t="s">
        <v>6</v>
      </c>
      <c r="C84" s="101"/>
      <c r="D84" s="96"/>
      <c r="E84" s="1">
        <v>77</v>
      </c>
      <c r="F84" s="1">
        <v>109.511</v>
      </c>
      <c r="G84" s="1">
        <v>2.0259999999999998</v>
      </c>
      <c r="H84" s="3" t="s">
        <v>120</v>
      </c>
      <c r="I84" s="15">
        <v>148</v>
      </c>
      <c r="J84" s="1">
        <v>2.8439999999999999</v>
      </c>
      <c r="K84" s="1">
        <v>1.62</v>
      </c>
      <c r="L84" s="1">
        <v>2853</v>
      </c>
      <c r="M84" s="15">
        <v>10</v>
      </c>
      <c r="N84" s="1">
        <v>10.98</v>
      </c>
      <c r="O84" s="16">
        <f t="shared" si="4"/>
        <v>9.8000000000000087E-2</v>
      </c>
      <c r="P84" s="33">
        <f t="shared" si="5"/>
        <v>2.479670522257273</v>
      </c>
      <c r="Q84" s="32">
        <f t="shared" si="6"/>
        <v>0.6533126015972861</v>
      </c>
    </row>
    <row r="85" spans="2:17">
      <c r="B85" s="28" t="s">
        <v>7</v>
      </c>
      <c r="C85" s="102"/>
      <c r="D85" s="96"/>
      <c r="E85" s="1">
        <v>72.099999999999994</v>
      </c>
      <c r="F85" s="1">
        <v>109.511</v>
      </c>
      <c r="G85" s="1">
        <v>2.0310000000000001</v>
      </c>
      <c r="H85" s="3" t="s">
        <v>121</v>
      </c>
      <c r="I85" s="15">
        <v>148</v>
      </c>
      <c r="J85" s="1">
        <v>1.6559999999999999</v>
      </c>
      <c r="K85" s="1">
        <v>1.629</v>
      </c>
      <c r="L85" s="1">
        <v>3016</v>
      </c>
      <c r="M85" s="15">
        <v>10</v>
      </c>
      <c r="N85" s="1">
        <v>11</v>
      </c>
      <c r="O85" s="16">
        <f t="shared" si="4"/>
        <v>0.10000000000000009</v>
      </c>
      <c r="P85" s="33">
        <f t="shared" si="5"/>
        <v>2.34565649867374</v>
      </c>
      <c r="Q85" s="32">
        <f t="shared" si="6"/>
        <v>0.69447508657855683</v>
      </c>
    </row>
    <row r="86" spans="2:17">
      <c r="B86" s="30"/>
      <c r="P86" s="34"/>
      <c r="Q86" s="31"/>
    </row>
    <row r="87" spans="2:17">
      <c r="B87" s="2" t="s">
        <v>123</v>
      </c>
      <c r="C87" s="94" t="s">
        <v>138</v>
      </c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34"/>
      <c r="Q87" s="31"/>
    </row>
    <row r="88" spans="2:17">
      <c r="B88" s="27" t="s">
        <v>0</v>
      </c>
      <c r="C88" s="5" t="s">
        <v>8</v>
      </c>
      <c r="D88" s="5" t="s">
        <v>9</v>
      </c>
      <c r="E88" s="5" t="s">
        <v>17</v>
      </c>
      <c r="F88" s="5" t="s">
        <v>10</v>
      </c>
      <c r="G88" s="5" t="s">
        <v>11</v>
      </c>
      <c r="H88" s="5" t="s">
        <v>19</v>
      </c>
      <c r="I88" s="5" t="s">
        <v>13</v>
      </c>
      <c r="J88" s="5" t="s">
        <v>18</v>
      </c>
      <c r="K88" s="5" t="s">
        <v>12</v>
      </c>
      <c r="L88" s="5" t="s">
        <v>88</v>
      </c>
      <c r="M88" s="5" t="s">
        <v>90</v>
      </c>
      <c r="N88" s="5" t="s">
        <v>91</v>
      </c>
      <c r="O88" s="5" t="s">
        <v>92</v>
      </c>
      <c r="P88" s="35" t="s">
        <v>144</v>
      </c>
      <c r="Q88" s="5" t="s">
        <v>145</v>
      </c>
    </row>
    <row r="89" spans="2:17">
      <c r="B89" s="9" t="s">
        <v>1</v>
      </c>
      <c r="C89" s="96">
        <v>15</v>
      </c>
      <c r="D89" s="96">
        <v>10.5</v>
      </c>
      <c r="E89" s="15">
        <v>85</v>
      </c>
      <c r="F89" s="15">
        <v>60.231000000000002</v>
      </c>
      <c r="G89" s="15">
        <v>0.97</v>
      </c>
      <c r="H89" s="15" t="s">
        <v>126</v>
      </c>
      <c r="I89" s="15">
        <v>145</v>
      </c>
      <c r="J89" s="15">
        <v>1.319</v>
      </c>
      <c r="K89" s="15">
        <v>2.1520000000000001</v>
      </c>
      <c r="L89" s="15">
        <v>2013</v>
      </c>
      <c r="M89" s="15">
        <v>5.5</v>
      </c>
      <c r="N89" s="15">
        <v>6.0490000000000004</v>
      </c>
      <c r="O89" s="16">
        <f t="shared" ref="O89:O92" si="7">(N89/M89)-1</f>
        <v>9.9818181818181806E-2</v>
      </c>
      <c r="P89" s="33">
        <f t="shared" si="5"/>
        <v>3.514406358668654</v>
      </c>
      <c r="Q89" s="32">
        <f t="shared" si="6"/>
        <v>0.61233670224044101</v>
      </c>
    </row>
    <row r="90" spans="2:17">
      <c r="B90" s="9" t="s">
        <v>2</v>
      </c>
      <c r="C90" s="96"/>
      <c r="D90" s="96"/>
      <c r="E90" s="1">
        <v>77</v>
      </c>
      <c r="F90" s="15">
        <v>60.231000000000002</v>
      </c>
      <c r="G90" s="1">
        <v>0.96899999999999997</v>
      </c>
      <c r="H90" s="29" t="s">
        <v>127</v>
      </c>
      <c r="I90" s="15">
        <v>145</v>
      </c>
      <c r="J90" s="1">
        <v>1.7</v>
      </c>
      <c r="K90" s="1">
        <v>2.145</v>
      </c>
      <c r="L90" s="1">
        <v>2205</v>
      </c>
      <c r="M90" s="15">
        <v>5.5</v>
      </c>
      <c r="N90" s="1">
        <v>6.0430000000000001</v>
      </c>
      <c r="O90" s="16">
        <f t="shared" si="7"/>
        <v>9.8727272727272775E-2</v>
      </c>
      <c r="P90" s="33">
        <f t="shared" si="5"/>
        <v>3.2083900226757369</v>
      </c>
      <c r="Q90" s="32">
        <f t="shared" si="6"/>
        <v>0.66855961552053145</v>
      </c>
    </row>
    <row r="91" spans="2:17">
      <c r="B91" s="9" t="s">
        <v>3</v>
      </c>
      <c r="C91" s="96"/>
      <c r="D91" s="96"/>
      <c r="E91" s="1">
        <v>72.099999999999994</v>
      </c>
      <c r="F91" s="15">
        <v>60.231000000000002</v>
      </c>
      <c r="G91" s="1">
        <v>0.96899999999999997</v>
      </c>
      <c r="H91" s="29" t="s">
        <v>128</v>
      </c>
      <c r="I91" s="15">
        <v>145</v>
      </c>
      <c r="J91" s="1">
        <v>1.905</v>
      </c>
      <c r="K91" s="1">
        <v>2.1419999999999999</v>
      </c>
      <c r="L91" s="1">
        <v>2333</v>
      </c>
      <c r="M91" s="15">
        <v>5.5</v>
      </c>
      <c r="N91" s="1">
        <v>6.04</v>
      </c>
      <c r="O91" s="16">
        <f t="shared" si="7"/>
        <v>9.8181818181818148E-2</v>
      </c>
      <c r="P91" s="33">
        <f t="shared" si="5"/>
        <v>3.0323617659665669</v>
      </c>
      <c r="Q91" s="32">
        <f t="shared" si="6"/>
        <v>0.70638009753339448</v>
      </c>
    </row>
    <row r="92" spans="2:17">
      <c r="B92" s="9" t="s">
        <v>4</v>
      </c>
      <c r="C92" s="96"/>
      <c r="D92" s="96"/>
      <c r="E92" s="1">
        <v>65</v>
      </c>
      <c r="F92" s="15">
        <v>60.231000000000002</v>
      </c>
      <c r="G92" s="1">
        <v>0.96799999999999997</v>
      </c>
      <c r="H92" s="29" t="s">
        <v>129</v>
      </c>
      <c r="I92" s="15">
        <v>145</v>
      </c>
      <c r="J92" s="1">
        <v>2.2170000000000001</v>
      </c>
      <c r="K92" s="1">
        <v>2.1349999999999998</v>
      </c>
      <c r="L92" s="1">
        <v>2534</v>
      </c>
      <c r="M92" s="15">
        <v>5.5</v>
      </c>
      <c r="N92" s="1">
        <v>6.0350000000000001</v>
      </c>
      <c r="O92" s="16">
        <f t="shared" si="7"/>
        <v>9.7272727272727399E-2</v>
      </c>
      <c r="P92" s="33">
        <f t="shared" si="5"/>
        <v>2.7918310970797156</v>
      </c>
      <c r="Q92" s="32">
        <f t="shared" si="6"/>
        <v>0.76473107640115912</v>
      </c>
    </row>
    <row r="93" spans="2:17">
      <c r="B93" s="9" t="s">
        <v>5</v>
      </c>
      <c r="C93" s="96"/>
      <c r="D93" s="96"/>
      <c r="E93" s="1">
        <v>72.099999999999994</v>
      </c>
      <c r="F93" s="1">
        <v>87.608000000000004</v>
      </c>
      <c r="G93" s="1">
        <v>1.5329999999999999</v>
      </c>
      <c r="H93" s="29" t="s">
        <v>125</v>
      </c>
      <c r="I93" s="1">
        <v>147</v>
      </c>
      <c r="J93" s="1">
        <v>1.0629999999999999</v>
      </c>
      <c r="K93" s="1">
        <v>1.8089999999999999</v>
      </c>
      <c r="L93" s="1">
        <v>2742</v>
      </c>
      <c r="M93" s="1">
        <v>8</v>
      </c>
      <c r="N93" s="1">
        <v>8.7970000000000006</v>
      </c>
      <c r="O93" s="16">
        <f>(N93/M93)-1</f>
        <v>9.9625000000000075E-2</v>
      </c>
      <c r="P93" s="33">
        <f t="shared" si="5"/>
        <v>2.5800510576221733</v>
      </c>
      <c r="Q93" s="32">
        <f t="shared" si="6"/>
        <v>0.70114891511767619</v>
      </c>
    </row>
    <row r="94" spans="2:17">
      <c r="B94" s="9" t="s">
        <v>6</v>
      </c>
      <c r="C94" s="96"/>
      <c r="D94" s="96"/>
      <c r="E94" s="1">
        <v>65</v>
      </c>
      <c r="F94" s="1">
        <v>87.608000000000004</v>
      </c>
      <c r="G94" s="1">
        <v>1.5329999999999999</v>
      </c>
      <c r="H94" s="29" t="s">
        <v>124</v>
      </c>
      <c r="I94" s="1">
        <v>147</v>
      </c>
      <c r="J94" s="1">
        <v>0.96299999999999997</v>
      </c>
      <c r="K94" s="1">
        <v>1.8080000000000001</v>
      </c>
      <c r="L94" s="1">
        <v>2978</v>
      </c>
      <c r="M94" s="1">
        <v>8</v>
      </c>
      <c r="N94" s="1">
        <v>8.798</v>
      </c>
      <c r="O94" s="16">
        <f>(N94/M94)-1</f>
        <v>9.9750000000000005E-2</v>
      </c>
      <c r="P94" s="33">
        <f t="shared" si="5"/>
        <v>2.3755876427132301</v>
      </c>
      <c r="Q94" s="32">
        <f t="shared" si="6"/>
        <v>0.76107484627888911</v>
      </c>
    </row>
    <row r="95" spans="2:17">
      <c r="B95" s="26"/>
      <c r="C95" s="25"/>
      <c r="D95" s="25"/>
      <c r="P95" s="34"/>
      <c r="Q95" s="31"/>
    </row>
    <row r="96" spans="2:17">
      <c r="B96" s="2" t="s">
        <v>130</v>
      </c>
      <c r="C96" s="103" t="s">
        <v>137</v>
      </c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5"/>
      <c r="P96" s="34"/>
      <c r="Q96" s="31"/>
    </row>
    <row r="97" spans="2:17">
      <c r="B97" s="27" t="s">
        <v>0</v>
      </c>
      <c r="C97" s="5" t="s">
        <v>8</v>
      </c>
      <c r="D97" s="5" t="s">
        <v>9</v>
      </c>
      <c r="E97" s="5" t="s">
        <v>17</v>
      </c>
      <c r="F97" s="5" t="s">
        <v>10</v>
      </c>
      <c r="G97" s="5" t="s">
        <v>11</v>
      </c>
      <c r="H97" s="5" t="s">
        <v>19</v>
      </c>
      <c r="I97" s="5" t="s">
        <v>13</v>
      </c>
      <c r="J97" s="5" t="s">
        <v>18</v>
      </c>
      <c r="K97" s="5" t="s">
        <v>12</v>
      </c>
      <c r="L97" s="5" t="s">
        <v>88</v>
      </c>
      <c r="M97" s="5" t="s">
        <v>90</v>
      </c>
      <c r="N97" s="5" t="s">
        <v>91</v>
      </c>
      <c r="O97" s="5" t="s">
        <v>92</v>
      </c>
      <c r="P97" s="35" t="s">
        <v>144</v>
      </c>
      <c r="Q97" s="5" t="s">
        <v>145</v>
      </c>
    </row>
    <row r="98" spans="2:17">
      <c r="B98" s="9" t="s">
        <v>1</v>
      </c>
      <c r="C98" s="100">
        <v>19</v>
      </c>
      <c r="D98" s="100">
        <v>20</v>
      </c>
      <c r="E98" s="15">
        <v>85</v>
      </c>
      <c r="F98" s="15">
        <v>73.843999999999994</v>
      </c>
      <c r="G98" s="15">
        <v>1.3839999999999999</v>
      </c>
      <c r="H98" s="15" t="s">
        <v>131</v>
      </c>
      <c r="I98" s="15">
        <v>100</v>
      </c>
      <c r="J98" s="15">
        <v>3.6880000000000002</v>
      </c>
      <c r="K98" s="15">
        <v>1.9710000000000001</v>
      </c>
      <c r="L98" s="15">
        <v>2017</v>
      </c>
      <c r="M98" s="15">
        <v>10</v>
      </c>
      <c r="N98" s="15">
        <v>11</v>
      </c>
      <c r="O98" s="16">
        <f t="shared" ref="O98:O103" si="8">(N98/M98)-1</f>
        <v>0.10000000000000009</v>
      </c>
      <c r="P98" s="33">
        <f t="shared" si="5"/>
        <v>3.5074367873078831</v>
      </c>
      <c r="Q98" s="32">
        <f t="shared" si="6"/>
        <v>0.56194883030602871</v>
      </c>
    </row>
    <row r="99" spans="2:17">
      <c r="B99" s="9" t="s">
        <v>2</v>
      </c>
      <c r="C99" s="101"/>
      <c r="D99" s="101"/>
      <c r="E99" s="1">
        <v>77</v>
      </c>
      <c r="F99" s="15">
        <v>73.843999999999994</v>
      </c>
      <c r="G99" s="1">
        <v>1.3819999999999999</v>
      </c>
      <c r="H99" s="29" t="s">
        <v>132</v>
      </c>
      <c r="I99" s="15">
        <v>100</v>
      </c>
      <c r="J99" s="1">
        <v>3.9209999999999998</v>
      </c>
      <c r="K99" s="1">
        <v>1.962</v>
      </c>
      <c r="L99" s="1">
        <v>2233</v>
      </c>
      <c r="M99" s="15">
        <v>10</v>
      </c>
      <c r="N99" s="1">
        <v>10.993</v>
      </c>
      <c r="O99" s="16">
        <f t="shared" si="8"/>
        <v>9.9299999999999944E-2</v>
      </c>
      <c r="P99" s="33">
        <f t="shared" si="5"/>
        <v>3.1681594267801167</v>
      </c>
      <c r="Q99" s="32">
        <f t="shared" si="6"/>
        <v>0.61928701675030029</v>
      </c>
    </row>
    <row r="100" spans="2:17">
      <c r="B100" s="9" t="s">
        <v>3</v>
      </c>
      <c r="C100" s="101"/>
      <c r="D100" s="101"/>
      <c r="E100" s="1">
        <v>72.099999999999994</v>
      </c>
      <c r="F100" s="15">
        <v>73.843999999999994</v>
      </c>
      <c r="G100" s="1">
        <v>1.381</v>
      </c>
      <c r="H100" s="29" t="s">
        <v>133</v>
      </c>
      <c r="I100" s="15">
        <v>100</v>
      </c>
      <c r="J100" s="1">
        <v>3.996</v>
      </c>
      <c r="K100" s="1">
        <v>1.9570000000000001</v>
      </c>
      <c r="L100" s="1">
        <v>2380</v>
      </c>
      <c r="M100" s="15">
        <v>10</v>
      </c>
      <c r="N100" s="1">
        <v>10.986000000000001</v>
      </c>
      <c r="O100" s="16">
        <f t="shared" si="8"/>
        <v>9.8600000000000021E-2</v>
      </c>
      <c r="P100" s="33">
        <f t="shared" si="5"/>
        <v>2.9724789915966388</v>
      </c>
      <c r="Q100" s="32">
        <f t="shared" si="6"/>
        <v>0.65837302989610569</v>
      </c>
    </row>
    <row r="101" spans="2:17">
      <c r="B101" s="9" t="s">
        <v>4</v>
      </c>
      <c r="C101" s="101"/>
      <c r="D101" s="101"/>
      <c r="E101" s="1">
        <v>65</v>
      </c>
      <c r="F101" s="15">
        <v>73.843999999999994</v>
      </c>
      <c r="G101" s="1">
        <v>1.383</v>
      </c>
      <c r="H101" s="29" t="s">
        <v>134</v>
      </c>
      <c r="I101" s="15">
        <v>100</v>
      </c>
      <c r="J101" s="1">
        <v>3.7690000000000001</v>
      </c>
      <c r="K101" s="1">
        <v>1.9670000000000001</v>
      </c>
      <c r="L101" s="1">
        <v>2613</v>
      </c>
      <c r="M101" s="15">
        <v>10</v>
      </c>
      <c r="N101" s="1">
        <v>10.992000000000001</v>
      </c>
      <c r="O101" s="16">
        <f t="shared" si="8"/>
        <v>9.9200000000000177E-2</v>
      </c>
      <c r="P101" s="33">
        <f t="shared" si="5"/>
        <v>2.7074244163796402</v>
      </c>
      <c r="Q101" s="32">
        <f t="shared" si="6"/>
        <v>0.72652074351544282</v>
      </c>
    </row>
    <row r="102" spans="2:17">
      <c r="B102" s="9" t="s">
        <v>5</v>
      </c>
      <c r="C102" s="101"/>
      <c r="D102" s="101"/>
      <c r="E102" s="1">
        <v>72.099999999999994</v>
      </c>
      <c r="F102" s="1">
        <v>103.38200000000001</v>
      </c>
      <c r="G102" s="1">
        <v>2.0659999999999998</v>
      </c>
      <c r="H102" s="29" t="s">
        <v>136</v>
      </c>
      <c r="I102" s="1">
        <v>100</v>
      </c>
      <c r="J102" s="1">
        <v>5.5940000000000003</v>
      </c>
      <c r="K102" s="1">
        <v>1.663</v>
      </c>
      <c r="L102" s="1">
        <v>2758</v>
      </c>
      <c r="M102" s="1">
        <v>14</v>
      </c>
      <c r="N102" s="1">
        <v>15.374000000000001</v>
      </c>
      <c r="O102" s="16">
        <f t="shared" si="8"/>
        <v>9.8142857142857087E-2</v>
      </c>
      <c r="P102" s="33">
        <f t="shared" si="5"/>
        <v>2.5650833937635964</v>
      </c>
      <c r="Q102" s="32">
        <f t="shared" si="6"/>
        <v>0.64832200155488029</v>
      </c>
    </row>
    <row r="103" spans="2:17">
      <c r="B103" s="9" t="s">
        <v>6</v>
      </c>
      <c r="C103" s="102"/>
      <c r="D103" s="102"/>
      <c r="E103" s="1">
        <v>65</v>
      </c>
      <c r="F103" s="1">
        <v>103.38200000000001</v>
      </c>
      <c r="G103" s="1">
        <v>2.0670000000000002</v>
      </c>
      <c r="H103" s="29" t="s">
        <v>135</v>
      </c>
      <c r="I103" s="1">
        <v>100</v>
      </c>
      <c r="J103" s="1">
        <v>5.5140000000000002</v>
      </c>
      <c r="K103" s="1">
        <v>1.667</v>
      </c>
      <c r="L103" s="1">
        <v>3030</v>
      </c>
      <c r="M103" s="1">
        <v>14</v>
      </c>
      <c r="N103" s="1">
        <v>15.38</v>
      </c>
      <c r="O103" s="16">
        <f t="shared" si="8"/>
        <v>9.8571428571428532E-2</v>
      </c>
      <c r="P103" s="33">
        <f t="shared" si="5"/>
        <v>2.3348184818481847</v>
      </c>
      <c r="Q103" s="32">
        <f t="shared" si="6"/>
        <v>0.71397413244752284</v>
      </c>
    </row>
    <row r="104" spans="2:17">
      <c r="P104" s="34"/>
      <c r="Q104" s="31"/>
    </row>
    <row r="105" spans="2:17">
      <c r="B105" s="2" t="s">
        <v>139</v>
      </c>
      <c r="C105" s="103" t="s">
        <v>140</v>
      </c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5"/>
      <c r="P105" s="34"/>
      <c r="Q105" s="31"/>
    </row>
    <row r="106" spans="2:17">
      <c r="B106" s="27" t="s">
        <v>0</v>
      </c>
      <c r="C106" s="5" t="s">
        <v>8</v>
      </c>
      <c r="D106" s="5" t="s">
        <v>9</v>
      </c>
      <c r="E106" s="5" t="s">
        <v>17</v>
      </c>
      <c r="F106" s="5" t="s">
        <v>10</v>
      </c>
      <c r="G106" s="5" t="s">
        <v>11</v>
      </c>
      <c r="H106" s="5" t="s">
        <v>19</v>
      </c>
      <c r="I106" s="5" t="s">
        <v>13</v>
      </c>
      <c r="J106" s="5" t="s">
        <v>18</v>
      </c>
      <c r="K106" s="5" t="s">
        <v>12</v>
      </c>
      <c r="L106" s="5" t="s">
        <v>88</v>
      </c>
      <c r="M106" s="5" t="s">
        <v>90</v>
      </c>
      <c r="N106" s="5" t="s">
        <v>91</v>
      </c>
      <c r="O106" s="5" t="s">
        <v>92</v>
      </c>
      <c r="P106" s="35" t="s">
        <v>144</v>
      </c>
      <c r="Q106" s="5" t="s">
        <v>145</v>
      </c>
    </row>
    <row r="107" spans="2:17">
      <c r="B107" s="2" t="s">
        <v>1</v>
      </c>
      <c r="C107" s="95">
        <v>15</v>
      </c>
      <c r="D107" s="95">
        <v>20</v>
      </c>
      <c r="E107" s="15">
        <v>85</v>
      </c>
      <c r="F107" s="13">
        <v>98.558999999999997</v>
      </c>
      <c r="G107" s="1">
        <v>1.5660000000000001</v>
      </c>
      <c r="H107" s="3" t="s">
        <v>141</v>
      </c>
      <c r="I107" s="1">
        <v>138</v>
      </c>
      <c r="J107" s="1">
        <v>0.99099999999999999</v>
      </c>
      <c r="K107" s="1">
        <v>2.444</v>
      </c>
      <c r="L107" s="1">
        <v>2013</v>
      </c>
      <c r="M107" s="1">
        <v>9</v>
      </c>
      <c r="N107" s="1">
        <v>9.9</v>
      </c>
      <c r="O107" s="14">
        <f t="shared" ref="O107:O110" si="9">(N107/M107)-1</f>
        <v>0.10000000000000009</v>
      </c>
      <c r="P107" s="33">
        <f t="shared" si="5"/>
        <v>3.514406358668654</v>
      </c>
      <c r="Q107" s="32">
        <f t="shared" si="6"/>
        <v>0.69542328079722937</v>
      </c>
    </row>
    <row r="108" spans="2:17">
      <c r="B108" s="2" t="s">
        <v>2</v>
      </c>
      <c r="C108" s="95"/>
      <c r="D108" s="95"/>
      <c r="E108" s="1">
        <v>77</v>
      </c>
      <c r="F108" s="13">
        <v>98.558999999999997</v>
      </c>
      <c r="G108" s="1">
        <v>1.5640000000000001</v>
      </c>
      <c r="H108" s="3" t="s">
        <v>142</v>
      </c>
      <c r="I108" s="1">
        <v>138</v>
      </c>
      <c r="J108" s="1">
        <v>1.639</v>
      </c>
      <c r="K108" s="1">
        <v>2.4289999999999998</v>
      </c>
      <c r="L108" s="1">
        <v>2224</v>
      </c>
      <c r="M108" s="1">
        <v>9</v>
      </c>
      <c r="N108" s="1">
        <v>9.8930000000000007</v>
      </c>
      <c r="O108" s="14">
        <f t="shared" si="9"/>
        <v>9.9222222222222323E-2</v>
      </c>
      <c r="P108" s="33">
        <f t="shared" si="5"/>
        <v>3.1809802158273381</v>
      </c>
      <c r="Q108" s="32">
        <f t="shared" si="6"/>
        <v>0.763601102551417</v>
      </c>
    </row>
    <row r="109" spans="2:17">
      <c r="B109" s="2" t="s">
        <v>3</v>
      </c>
      <c r="C109" s="95"/>
      <c r="D109" s="95"/>
      <c r="E109" s="1">
        <v>72.099999999999994</v>
      </c>
      <c r="F109" s="13">
        <v>98.558999999999997</v>
      </c>
      <c r="G109" s="1">
        <v>1.5629999999999999</v>
      </c>
      <c r="H109" s="3" t="s">
        <v>143</v>
      </c>
      <c r="I109" s="1">
        <v>138</v>
      </c>
      <c r="J109" s="1">
        <v>1.8759999999999999</v>
      </c>
      <c r="K109" s="1">
        <v>2.427</v>
      </c>
      <c r="L109" s="1">
        <v>2368</v>
      </c>
      <c r="M109" s="1">
        <v>9</v>
      </c>
      <c r="N109" s="1">
        <v>9.8859999999999992</v>
      </c>
      <c r="O109" s="14">
        <f t="shared" si="9"/>
        <v>9.8444444444444335E-2</v>
      </c>
      <c r="P109" s="33">
        <f t="shared" si="5"/>
        <v>2.9875422297297298</v>
      </c>
      <c r="Q109" s="32">
        <f t="shared" si="6"/>
        <v>0.81237345395434302</v>
      </c>
    </row>
    <row r="110" spans="2:17">
      <c r="B110" s="2" t="s">
        <v>4</v>
      </c>
      <c r="C110" s="95"/>
      <c r="D110" s="95"/>
      <c r="E110" s="1">
        <v>65</v>
      </c>
      <c r="F110" s="13">
        <v>98.558999999999997</v>
      </c>
      <c r="G110" s="1">
        <v>1.5649999999999999</v>
      </c>
      <c r="H110" s="3" t="s">
        <v>74</v>
      </c>
      <c r="I110" s="1">
        <v>138</v>
      </c>
      <c r="J110" s="1">
        <v>1.4510000000000001</v>
      </c>
      <c r="K110" s="1">
        <v>2.4329999999999998</v>
      </c>
      <c r="L110" s="1">
        <v>2596</v>
      </c>
      <c r="M110" s="1">
        <v>9</v>
      </c>
      <c r="N110" s="1">
        <v>9.9</v>
      </c>
      <c r="O110" s="14">
        <f t="shared" si="9"/>
        <v>0.10000000000000009</v>
      </c>
      <c r="P110" s="33">
        <f t="shared" si="5"/>
        <v>2.7251540832049304</v>
      </c>
      <c r="Q110" s="32">
        <f t="shared" si="6"/>
        <v>0.89279355431479257</v>
      </c>
    </row>
    <row r="111" spans="2:17">
      <c r="B111" s="2" t="s">
        <v>5</v>
      </c>
      <c r="C111" s="95"/>
      <c r="D111" s="95"/>
      <c r="E111" s="3">
        <v>77</v>
      </c>
      <c r="F111" s="13">
        <v>169.74100000000001</v>
      </c>
      <c r="G111" s="1">
        <v>3.0249999999999999</v>
      </c>
      <c r="H111" s="7" t="s">
        <v>93</v>
      </c>
      <c r="I111" s="1">
        <v>141</v>
      </c>
      <c r="J111" s="1">
        <v>1.859</v>
      </c>
      <c r="K111" s="1">
        <v>1.8759999999999999</v>
      </c>
      <c r="L111" s="1">
        <v>2813</v>
      </c>
      <c r="M111" s="1">
        <v>15.5</v>
      </c>
      <c r="N111" s="1">
        <v>17.036000000000001</v>
      </c>
      <c r="O111" s="14">
        <f t="shared" ref="O111:O112" si="10">(N111/M111)-1</f>
        <v>9.9096774193548454E-2</v>
      </c>
      <c r="P111" s="33">
        <f t="shared" si="5"/>
        <v>2.5149306789904013</v>
      </c>
      <c r="Q111" s="32">
        <f t="shared" si="6"/>
        <v>0.74594501378189282</v>
      </c>
    </row>
    <row r="112" spans="2:17">
      <c r="B112" s="2" t="s">
        <v>6</v>
      </c>
      <c r="C112" s="95"/>
      <c r="D112" s="95"/>
      <c r="E112" s="3">
        <v>72.099999999999994</v>
      </c>
      <c r="F112" s="13">
        <v>169.74100000000001</v>
      </c>
      <c r="G112" s="1">
        <v>3.0190000000000001</v>
      </c>
      <c r="H112" s="7" t="s">
        <v>94</v>
      </c>
      <c r="I112" s="1">
        <v>141</v>
      </c>
      <c r="J112" s="1">
        <v>2.6709999999999998</v>
      </c>
      <c r="K112" s="1">
        <v>1.865</v>
      </c>
      <c r="L112" s="1">
        <v>2996</v>
      </c>
      <c r="M112" s="1">
        <v>15.5</v>
      </c>
      <c r="N112" s="1">
        <v>17.006</v>
      </c>
      <c r="O112" s="14">
        <f t="shared" si="10"/>
        <v>9.7161290322580696E-2</v>
      </c>
      <c r="P112" s="33">
        <f t="shared" si="5"/>
        <v>2.3613150867823767</v>
      </c>
      <c r="Q112" s="32">
        <f t="shared" si="6"/>
        <v>0.78981412113930305</v>
      </c>
    </row>
    <row r="113" spans="2:17">
      <c r="B113" s="26"/>
      <c r="C113" s="25"/>
      <c r="D113" s="25"/>
    </row>
    <row r="114" spans="2:17">
      <c r="B114" s="2" t="s">
        <v>146</v>
      </c>
      <c r="C114" s="103" t="s">
        <v>147</v>
      </c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5"/>
      <c r="P114" s="34"/>
      <c r="Q114" s="31"/>
    </row>
    <row r="115" spans="2:17">
      <c r="B115" s="27" t="s">
        <v>0</v>
      </c>
      <c r="C115" s="5" t="s">
        <v>8</v>
      </c>
      <c r="D115" s="5" t="s">
        <v>9</v>
      </c>
      <c r="E115" s="5" t="s">
        <v>17</v>
      </c>
      <c r="F115" s="5" t="s">
        <v>10</v>
      </c>
      <c r="G115" s="5" t="s">
        <v>11</v>
      </c>
      <c r="H115" s="5" t="s">
        <v>19</v>
      </c>
      <c r="I115" s="5" t="s">
        <v>13</v>
      </c>
      <c r="J115" s="5" t="s">
        <v>18</v>
      </c>
      <c r="K115" s="5" t="s">
        <v>12</v>
      </c>
      <c r="L115" s="5" t="s">
        <v>88</v>
      </c>
      <c r="M115" s="5" t="s">
        <v>90</v>
      </c>
      <c r="N115" s="5" t="s">
        <v>91</v>
      </c>
      <c r="O115" s="5" t="s">
        <v>92</v>
      </c>
      <c r="P115" s="35" t="s">
        <v>144</v>
      </c>
      <c r="Q115" s="5" t="s">
        <v>145</v>
      </c>
    </row>
    <row r="116" spans="2:17">
      <c r="B116" s="2" t="s">
        <v>1</v>
      </c>
      <c r="C116" s="95">
        <v>12</v>
      </c>
      <c r="D116" s="95">
        <v>35</v>
      </c>
      <c r="E116" s="15">
        <v>85</v>
      </c>
      <c r="F116" s="13">
        <v>172.22300000000001</v>
      </c>
      <c r="G116" s="1">
        <v>2.0470000000000002</v>
      </c>
      <c r="H116" s="3" t="s">
        <v>148</v>
      </c>
      <c r="I116" s="1">
        <v>229</v>
      </c>
      <c r="J116" s="1">
        <v>1.1279999999999999</v>
      </c>
      <c r="K116" s="1">
        <v>3.4159999999999999</v>
      </c>
      <c r="L116" s="1">
        <v>2031</v>
      </c>
      <c r="M116" s="1">
        <v>8</v>
      </c>
      <c r="N116" s="1">
        <v>8.7899999999999991</v>
      </c>
      <c r="O116" s="14">
        <f t="shared" ref="O116:O121" si="11">(N116/M116)-1</f>
        <v>9.8749999999999893E-2</v>
      </c>
      <c r="P116" s="33">
        <f t="shared" ref="P116:P121" si="12">1000*((3.418/L116)+((10.731-3.418)/(2*L116)))</f>
        <v>3.4832594780896113</v>
      </c>
      <c r="Q116" s="32">
        <f t="shared" ref="Q116:Q121" si="13">K116/P116</f>
        <v>0.98069064951586671</v>
      </c>
    </row>
    <row r="117" spans="2:17">
      <c r="B117" s="2" t="s">
        <v>2</v>
      </c>
      <c r="C117" s="95"/>
      <c r="D117" s="95"/>
      <c r="E117" s="1">
        <v>77</v>
      </c>
      <c r="F117" s="13"/>
      <c r="G117" s="1"/>
      <c r="H117" s="3"/>
      <c r="I117" s="1"/>
      <c r="J117" s="1"/>
      <c r="K117" s="1">
        <v>3.4620000000000002</v>
      </c>
      <c r="L117" s="1">
        <v>2009</v>
      </c>
      <c r="M117" s="1">
        <v>7.8</v>
      </c>
      <c r="N117" s="1">
        <v>8.5730000000000004</v>
      </c>
      <c r="O117" s="14">
        <f t="shared" si="11"/>
        <v>9.9102564102564239E-2</v>
      </c>
      <c r="P117" s="33">
        <f t="shared" si="12"/>
        <v>3.5214036834245892</v>
      </c>
      <c r="Q117" s="32">
        <f t="shared" si="13"/>
        <v>0.98313068061347098</v>
      </c>
    </row>
    <row r="118" spans="2:17">
      <c r="B118" s="2" t="s">
        <v>3</v>
      </c>
      <c r="C118" s="95"/>
      <c r="D118" s="95"/>
      <c r="E118" s="1">
        <v>72.099999999999994</v>
      </c>
      <c r="F118" s="13"/>
      <c r="G118" s="1"/>
      <c r="H118" s="3"/>
      <c r="I118" s="1"/>
      <c r="J118" s="1"/>
      <c r="K118" s="1"/>
      <c r="L118" s="1"/>
      <c r="M118" s="1"/>
      <c r="N118" s="1"/>
      <c r="O118" s="14" t="e">
        <f t="shared" si="11"/>
        <v>#DIV/0!</v>
      </c>
      <c r="P118" s="33" t="e">
        <f t="shared" si="12"/>
        <v>#DIV/0!</v>
      </c>
      <c r="Q118" s="32" t="e">
        <f t="shared" si="13"/>
        <v>#DIV/0!</v>
      </c>
    </row>
    <row r="119" spans="2:17">
      <c r="B119" s="2" t="s">
        <v>4</v>
      </c>
      <c r="C119" s="95"/>
      <c r="D119" s="95"/>
      <c r="E119" s="1">
        <v>65</v>
      </c>
      <c r="F119" s="13"/>
      <c r="G119" s="1"/>
      <c r="H119" s="3"/>
      <c r="I119" s="1"/>
      <c r="J119" s="1"/>
      <c r="K119" s="1"/>
      <c r="L119" s="1"/>
      <c r="M119" s="1"/>
      <c r="N119" s="1"/>
      <c r="O119" s="14" t="e">
        <f t="shared" si="11"/>
        <v>#DIV/0!</v>
      </c>
      <c r="P119" s="33" t="e">
        <f t="shared" si="12"/>
        <v>#DIV/0!</v>
      </c>
      <c r="Q119" s="32" t="e">
        <f t="shared" si="13"/>
        <v>#DIV/0!</v>
      </c>
    </row>
    <row r="120" spans="2:17">
      <c r="B120" s="2" t="s">
        <v>5</v>
      </c>
      <c r="C120" s="95"/>
      <c r="D120" s="95"/>
      <c r="E120" s="3">
        <v>77</v>
      </c>
      <c r="F120" s="13"/>
      <c r="G120" s="1"/>
      <c r="H120" s="7"/>
      <c r="I120" s="1"/>
      <c r="J120" s="1"/>
      <c r="K120" s="1"/>
      <c r="L120" s="1"/>
      <c r="M120" s="1"/>
      <c r="N120" s="1"/>
      <c r="O120" s="14" t="e">
        <f t="shared" si="11"/>
        <v>#DIV/0!</v>
      </c>
      <c r="P120" s="33" t="e">
        <f t="shared" si="12"/>
        <v>#DIV/0!</v>
      </c>
      <c r="Q120" s="32" t="e">
        <f t="shared" si="13"/>
        <v>#DIV/0!</v>
      </c>
    </row>
    <row r="121" spans="2:17">
      <c r="B121" s="2" t="s">
        <v>6</v>
      </c>
      <c r="C121" s="95"/>
      <c r="D121" s="95"/>
      <c r="E121" s="3">
        <v>72.099999999999994</v>
      </c>
      <c r="F121" s="13"/>
      <c r="G121" s="1"/>
      <c r="H121" s="7"/>
      <c r="I121" s="1"/>
      <c r="J121" s="1"/>
      <c r="K121" s="1"/>
      <c r="L121" s="1"/>
      <c r="M121" s="1"/>
      <c r="N121" s="1"/>
      <c r="O121" s="14" t="e">
        <f t="shared" si="11"/>
        <v>#DIV/0!</v>
      </c>
      <c r="P121" s="33" t="e">
        <f t="shared" si="12"/>
        <v>#DIV/0!</v>
      </c>
      <c r="Q121" s="32" t="e">
        <f t="shared" si="13"/>
        <v>#DIV/0!</v>
      </c>
    </row>
    <row r="123" spans="2:17">
      <c r="B123" s="2" t="s">
        <v>149</v>
      </c>
      <c r="C123" s="94" t="s">
        <v>147</v>
      </c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</row>
    <row r="124" spans="2:17">
      <c r="B124" s="27" t="s">
        <v>0</v>
      </c>
      <c r="C124" s="5" t="s">
        <v>8</v>
      </c>
      <c r="D124" s="5" t="s">
        <v>9</v>
      </c>
      <c r="E124" s="5" t="s">
        <v>17</v>
      </c>
      <c r="F124" s="5" t="s">
        <v>10</v>
      </c>
      <c r="G124" s="5" t="s">
        <v>11</v>
      </c>
      <c r="H124" s="5" t="s">
        <v>19</v>
      </c>
      <c r="I124" s="5" t="s">
        <v>13</v>
      </c>
      <c r="J124" s="5" t="s">
        <v>18</v>
      </c>
      <c r="K124" s="5" t="s">
        <v>12</v>
      </c>
      <c r="L124" s="5" t="s">
        <v>88</v>
      </c>
      <c r="M124" s="5" t="s">
        <v>90</v>
      </c>
      <c r="N124" s="5" t="s">
        <v>91</v>
      </c>
      <c r="O124" s="5" t="s">
        <v>92</v>
      </c>
      <c r="P124" s="35" t="s">
        <v>144</v>
      </c>
      <c r="Q124" s="5" t="s">
        <v>145</v>
      </c>
    </row>
    <row r="125" spans="2:17">
      <c r="B125" s="2" t="s">
        <v>1</v>
      </c>
      <c r="C125" s="95">
        <v>10</v>
      </c>
      <c r="D125" s="95">
        <v>20</v>
      </c>
      <c r="E125" s="15">
        <v>77</v>
      </c>
      <c r="F125" s="13">
        <v>129.167</v>
      </c>
      <c r="G125" s="1">
        <v>1.46</v>
      </c>
      <c r="H125" s="3" t="s">
        <v>150</v>
      </c>
      <c r="I125" s="1">
        <v>227</v>
      </c>
      <c r="J125" s="1">
        <v>0.43</v>
      </c>
      <c r="K125" s="1">
        <v>3.92</v>
      </c>
      <c r="L125" s="1">
        <v>1976</v>
      </c>
      <c r="M125" s="1">
        <v>6</v>
      </c>
      <c r="N125" s="1">
        <v>6.5970000000000004</v>
      </c>
      <c r="O125" s="14">
        <f t="shared" ref="O125:O130" si="14">(N125/M125)-1</f>
        <v>9.9500000000000144E-2</v>
      </c>
      <c r="P125" s="33">
        <f t="shared" ref="P125:P130" si="15">1000*((3.418/L125)+((10.731-3.418)/(2*L125)))</f>
        <v>3.5802125506072873</v>
      </c>
      <c r="Q125" s="32">
        <f t="shared" ref="Q125:Q130" si="16">K125/P125</f>
        <v>1.0949070605696516</v>
      </c>
    </row>
    <row r="126" spans="2:17">
      <c r="B126" s="2" t="s">
        <v>2</v>
      </c>
      <c r="C126" s="95"/>
      <c r="D126" s="95"/>
      <c r="E126" s="1">
        <v>72.099999999999994</v>
      </c>
      <c r="F126" s="13">
        <v>129.167</v>
      </c>
      <c r="G126" s="1">
        <v>1.4590000000000001</v>
      </c>
      <c r="H126" s="3" t="s">
        <v>151</v>
      </c>
      <c r="I126" s="1">
        <v>227</v>
      </c>
      <c r="J126" s="1">
        <v>0.625</v>
      </c>
      <c r="K126" s="1">
        <v>3.915</v>
      </c>
      <c r="L126" s="1">
        <v>2100</v>
      </c>
      <c r="M126" s="1">
        <v>6</v>
      </c>
      <c r="N126" s="1">
        <v>6.5949999999999998</v>
      </c>
      <c r="O126" s="14">
        <f t="shared" si="14"/>
        <v>9.9166666666666625E-2</v>
      </c>
      <c r="P126" s="33">
        <f t="shared" si="15"/>
        <v>3.3688095238095239</v>
      </c>
      <c r="Q126" s="32">
        <f t="shared" si="16"/>
        <v>1.1621315994063184</v>
      </c>
    </row>
    <row r="127" spans="2:17">
      <c r="B127" s="2" t="s">
        <v>3</v>
      </c>
      <c r="C127" s="95"/>
      <c r="D127" s="95"/>
      <c r="E127" s="1">
        <v>65</v>
      </c>
      <c r="F127" s="13">
        <v>129.167</v>
      </c>
      <c r="G127" s="1">
        <v>1.458</v>
      </c>
      <c r="H127" s="3" t="s">
        <v>152</v>
      </c>
      <c r="I127" s="1">
        <v>227</v>
      </c>
      <c r="J127" s="1">
        <v>1.3129999999999999</v>
      </c>
      <c r="K127" s="1">
        <v>3.8980000000000001</v>
      </c>
      <c r="L127" s="1">
        <v>2298</v>
      </c>
      <c r="M127" s="1">
        <v>6</v>
      </c>
      <c r="N127" s="1">
        <v>6.5860000000000003</v>
      </c>
      <c r="O127" s="14">
        <f t="shared" si="14"/>
        <v>9.766666666666679E-2</v>
      </c>
      <c r="P127" s="33">
        <f t="shared" si="15"/>
        <v>3.0785465622280244</v>
      </c>
      <c r="Q127" s="32">
        <f t="shared" si="16"/>
        <v>1.2661819209838152</v>
      </c>
    </row>
    <row r="128" spans="2:17">
      <c r="B128" s="2" t="s">
        <v>4</v>
      </c>
      <c r="C128" s="95"/>
      <c r="D128" s="95"/>
      <c r="E128" s="1">
        <v>77</v>
      </c>
      <c r="F128" s="13">
        <v>236.80600000000001</v>
      </c>
      <c r="G128" s="1">
        <v>3.0009999999999999</v>
      </c>
      <c r="H128" s="3" t="s">
        <v>155</v>
      </c>
      <c r="I128" s="1">
        <v>227</v>
      </c>
      <c r="J128" s="1">
        <v>6.391</v>
      </c>
      <c r="K128" s="1">
        <v>2.93</v>
      </c>
      <c r="L128" s="1">
        <v>2563</v>
      </c>
      <c r="M128" s="1">
        <v>11</v>
      </c>
      <c r="N128" s="1">
        <v>12.07</v>
      </c>
      <c r="O128" s="14">
        <f t="shared" si="14"/>
        <v>9.7272727272727399E-2</v>
      </c>
      <c r="P128" s="33">
        <f t="shared" si="15"/>
        <v>2.760241904018728</v>
      </c>
      <c r="Q128" s="32">
        <f t="shared" si="16"/>
        <v>1.0615011661601528</v>
      </c>
    </row>
    <row r="129" spans="2:17">
      <c r="B129" s="2" t="s">
        <v>5</v>
      </c>
      <c r="C129" s="95"/>
      <c r="D129" s="95"/>
      <c r="E129" s="3">
        <v>72.099999999999994</v>
      </c>
      <c r="F129" s="13">
        <v>236.80600000000001</v>
      </c>
      <c r="G129" s="1">
        <v>3.0019999999999998</v>
      </c>
      <c r="H129" s="7" t="s">
        <v>154</v>
      </c>
      <c r="I129" s="1">
        <v>227</v>
      </c>
      <c r="J129" s="1">
        <v>6.2919999999999998</v>
      </c>
      <c r="K129" s="1">
        <v>2.9329999999999998</v>
      </c>
      <c r="L129" s="1">
        <v>2723</v>
      </c>
      <c r="M129" s="1">
        <v>11</v>
      </c>
      <c r="N129" s="1">
        <v>12.073</v>
      </c>
      <c r="O129" s="14">
        <f t="shared" si="14"/>
        <v>9.7545454545454602E-2</v>
      </c>
      <c r="P129" s="33">
        <f t="shared" si="15"/>
        <v>2.5980536173338233</v>
      </c>
      <c r="Q129" s="32">
        <f t="shared" si="16"/>
        <v>1.1289220439607037</v>
      </c>
    </row>
    <row r="130" spans="2:17">
      <c r="B130" s="2" t="s">
        <v>6</v>
      </c>
      <c r="C130" s="95"/>
      <c r="D130" s="95"/>
      <c r="E130" s="3">
        <v>65</v>
      </c>
      <c r="F130" s="13">
        <v>236.80600000000001</v>
      </c>
      <c r="G130" s="1">
        <v>3.0059999999999998</v>
      </c>
      <c r="H130" s="7" t="s">
        <v>153</v>
      </c>
      <c r="I130" s="1">
        <v>227</v>
      </c>
      <c r="J130" s="1">
        <v>5.931</v>
      </c>
      <c r="K130" s="1">
        <v>2.9460000000000002</v>
      </c>
      <c r="L130" s="1">
        <v>2978</v>
      </c>
      <c r="M130" s="1">
        <v>11</v>
      </c>
      <c r="N130" s="1">
        <v>12.087</v>
      </c>
      <c r="O130" s="14">
        <f t="shared" si="14"/>
        <v>9.8818181818181694E-2</v>
      </c>
      <c r="P130" s="33">
        <f t="shared" si="15"/>
        <v>2.3755876427132301</v>
      </c>
      <c r="Q130" s="32">
        <f t="shared" si="16"/>
        <v>1.240114213018588</v>
      </c>
    </row>
    <row r="132" spans="2:17">
      <c r="B132" s="2" t="s">
        <v>156</v>
      </c>
      <c r="C132" s="94" t="s">
        <v>147</v>
      </c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</row>
    <row r="133" spans="2:17">
      <c r="B133" s="27" t="s">
        <v>0</v>
      </c>
      <c r="C133" s="5" t="s">
        <v>8</v>
      </c>
      <c r="D133" s="5" t="s">
        <v>9</v>
      </c>
      <c r="E133" s="5" t="s">
        <v>17</v>
      </c>
      <c r="F133" s="5" t="s">
        <v>10</v>
      </c>
      <c r="G133" s="5" t="s">
        <v>11</v>
      </c>
      <c r="H133" s="5" t="s">
        <v>19</v>
      </c>
      <c r="I133" s="5" t="s">
        <v>13</v>
      </c>
      <c r="J133" s="5" t="s">
        <v>18</v>
      </c>
      <c r="K133" s="5" t="s">
        <v>12</v>
      </c>
      <c r="L133" s="5" t="s">
        <v>88</v>
      </c>
      <c r="M133" s="5" t="s">
        <v>90</v>
      </c>
      <c r="N133" s="5" t="s">
        <v>91</v>
      </c>
      <c r="O133" s="5" t="s">
        <v>92</v>
      </c>
      <c r="P133" s="35" t="s">
        <v>144</v>
      </c>
      <c r="Q133" s="5" t="s">
        <v>145</v>
      </c>
    </row>
    <row r="134" spans="2:17">
      <c r="B134" s="2" t="s">
        <v>1</v>
      </c>
      <c r="C134" s="95">
        <v>12</v>
      </c>
      <c r="D134" s="95">
        <v>10.5</v>
      </c>
      <c r="E134" s="15">
        <v>77</v>
      </c>
      <c r="F134" s="13"/>
      <c r="G134" s="1"/>
      <c r="H134" s="3"/>
      <c r="I134" s="1"/>
      <c r="J134" s="1"/>
      <c r="K134" s="1"/>
      <c r="L134" s="1"/>
      <c r="M134" s="1"/>
      <c r="N134" s="1"/>
      <c r="O134" s="14" t="e">
        <f t="shared" ref="O134:O139" si="17">(N134/M134)-1</f>
        <v>#DIV/0!</v>
      </c>
      <c r="P134" s="33" t="e">
        <f t="shared" ref="P134:P139" si="18">1000*((3.418/L134)+((10.731-3.418)/(2*L134)))</f>
        <v>#DIV/0!</v>
      </c>
      <c r="Q134" s="32" t="e">
        <f t="shared" ref="Q134:Q139" si="19">K134/P134</f>
        <v>#DIV/0!</v>
      </c>
    </row>
    <row r="135" spans="2:17">
      <c r="B135" s="2" t="s">
        <v>2</v>
      </c>
      <c r="C135" s="95"/>
      <c r="D135" s="95"/>
      <c r="E135" s="1">
        <v>72.099999999999994</v>
      </c>
      <c r="F135" s="13"/>
      <c r="G135" s="1"/>
      <c r="H135" s="3"/>
      <c r="I135" s="1"/>
      <c r="J135" s="1"/>
      <c r="K135" s="1"/>
      <c r="L135" s="1"/>
      <c r="M135" s="1"/>
      <c r="N135" s="1"/>
      <c r="O135" s="14" t="e">
        <f t="shared" si="17"/>
        <v>#DIV/0!</v>
      </c>
      <c r="P135" s="33" t="e">
        <f t="shared" si="18"/>
        <v>#DIV/0!</v>
      </c>
      <c r="Q135" s="32" t="e">
        <f t="shared" si="19"/>
        <v>#DIV/0!</v>
      </c>
    </row>
    <row r="136" spans="2:17">
      <c r="B136" s="2" t="s">
        <v>3</v>
      </c>
      <c r="C136" s="95"/>
      <c r="D136" s="95"/>
      <c r="E136" s="1">
        <v>65</v>
      </c>
      <c r="F136" s="13"/>
      <c r="G136" s="1"/>
      <c r="H136" s="3"/>
      <c r="I136" s="1"/>
      <c r="J136" s="1"/>
      <c r="K136" s="1"/>
      <c r="L136" s="1"/>
      <c r="M136" s="1"/>
      <c r="N136" s="1"/>
      <c r="O136" s="14" t="e">
        <f t="shared" si="17"/>
        <v>#DIV/0!</v>
      </c>
      <c r="P136" s="33" t="e">
        <f t="shared" si="18"/>
        <v>#DIV/0!</v>
      </c>
      <c r="Q136" s="32" t="e">
        <f t="shared" si="19"/>
        <v>#DIV/0!</v>
      </c>
    </row>
    <row r="137" spans="2:17">
      <c r="B137" s="2" t="s">
        <v>4</v>
      </c>
      <c r="C137" s="95"/>
      <c r="D137" s="95"/>
      <c r="E137" s="1">
        <v>77</v>
      </c>
      <c r="F137" s="13"/>
      <c r="G137" s="1"/>
      <c r="H137" s="3"/>
      <c r="I137" s="1"/>
      <c r="J137" s="1"/>
      <c r="K137" s="1"/>
      <c r="L137" s="1"/>
      <c r="M137" s="1"/>
      <c r="N137" s="1"/>
      <c r="O137" s="14" t="e">
        <f t="shared" si="17"/>
        <v>#DIV/0!</v>
      </c>
      <c r="P137" s="33" t="e">
        <f t="shared" si="18"/>
        <v>#DIV/0!</v>
      </c>
      <c r="Q137" s="32" t="e">
        <f t="shared" si="19"/>
        <v>#DIV/0!</v>
      </c>
    </row>
    <row r="138" spans="2:17">
      <c r="B138" s="2" t="s">
        <v>5</v>
      </c>
      <c r="C138" s="95"/>
      <c r="D138" s="95"/>
      <c r="E138" s="3">
        <v>72.099999999999994</v>
      </c>
      <c r="F138" s="13"/>
      <c r="G138" s="1"/>
      <c r="H138" s="7"/>
      <c r="I138" s="1"/>
      <c r="J138" s="1"/>
      <c r="K138" s="1"/>
      <c r="L138" s="1"/>
      <c r="M138" s="1"/>
      <c r="N138" s="1"/>
      <c r="O138" s="14" t="e">
        <f t="shared" si="17"/>
        <v>#DIV/0!</v>
      </c>
      <c r="P138" s="33" t="e">
        <f t="shared" si="18"/>
        <v>#DIV/0!</v>
      </c>
      <c r="Q138" s="32" t="e">
        <f t="shared" si="19"/>
        <v>#DIV/0!</v>
      </c>
    </row>
    <row r="139" spans="2:17">
      <c r="B139" s="2" t="s">
        <v>6</v>
      </c>
      <c r="C139" s="95"/>
      <c r="D139" s="95"/>
      <c r="E139" s="3">
        <v>65</v>
      </c>
      <c r="F139" s="13">
        <v>119.142</v>
      </c>
      <c r="G139" s="1">
        <v>1.7589999999999999</v>
      </c>
      <c r="H139" s="7" t="s">
        <v>157</v>
      </c>
      <c r="I139" s="1">
        <v>200</v>
      </c>
      <c r="J139" s="1">
        <v>0.44500000000000001</v>
      </c>
      <c r="K139" s="1">
        <v>2.077</v>
      </c>
      <c r="L139" s="1">
        <v>2981</v>
      </c>
      <c r="M139" s="1">
        <v>7.5</v>
      </c>
      <c r="N139" s="1">
        <v>8.1059999999999999</v>
      </c>
      <c r="O139" s="14">
        <f t="shared" si="17"/>
        <v>8.0799999999999983E-2</v>
      </c>
      <c r="P139" s="33">
        <f t="shared" si="18"/>
        <v>2.3731969137873197</v>
      </c>
      <c r="Q139" s="32">
        <f t="shared" si="19"/>
        <v>0.87519075553042613</v>
      </c>
    </row>
    <row r="140" spans="2:17">
      <c r="C140">
        <v>10</v>
      </c>
      <c r="D140">
        <v>35</v>
      </c>
      <c r="E140" s="36">
        <v>65</v>
      </c>
      <c r="F140">
        <v>333.68099999999998</v>
      </c>
      <c r="G140">
        <v>4.0330000000000004</v>
      </c>
      <c r="H140" t="s">
        <v>158</v>
      </c>
      <c r="I140">
        <v>227</v>
      </c>
      <c r="J140">
        <v>4.0309999999999997</v>
      </c>
      <c r="K140">
        <v>3.2349999999999999</v>
      </c>
      <c r="L140">
        <v>2944</v>
      </c>
      <c r="M140">
        <v>15.5</v>
      </c>
      <c r="N140">
        <v>16.888999999999999</v>
      </c>
      <c r="O140" s="14">
        <f t="shared" ref="O140" si="20">(N140/M140)-1</f>
        <v>8.9612903225806395E-2</v>
      </c>
      <c r="P140" s="33">
        <f t="shared" ref="P140" si="21">1000*((3.418/L140)+((10.731-3.418)/(2*L140)))</f>
        <v>2.4030230978260869</v>
      </c>
      <c r="Q140" s="32">
        <f t="shared" ref="Q140" si="22">K140/P140</f>
        <v>1.3462209343416496</v>
      </c>
    </row>
    <row r="141" spans="2:17">
      <c r="O141" s="14"/>
      <c r="P141" s="33"/>
      <c r="Q141" s="32"/>
    </row>
    <row r="142" spans="2:17">
      <c r="C142">
        <v>12</v>
      </c>
      <c r="D142">
        <v>10.5</v>
      </c>
      <c r="E142">
        <v>85</v>
      </c>
      <c r="F142">
        <v>223.28100000000001</v>
      </c>
      <c r="G142">
        <v>3.0190000000000001</v>
      </c>
      <c r="H142" t="s">
        <v>161</v>
      </c>
      <c r="I142">
        <v>198</v>
      </c>
      <c r="J142">
        <v>4.2119999999999997</v>
      </c>
      <c r="K142">
        <v>2.14</v>
      </c>
      <c r="L142">
        <v>2868</v>
      </c>
      <c r="M142">
        <v>10</v>
      </c>
      <c r="N142">
        <v>11.007</v>
      </c>
      <c r="O142" s="14">
        <f t="shared" ref="O142:O143" si="23">(N142/M142)-1</f>
        <v>0.10070000000000001</v>
      </c>
      <c r="P142" s="33">
        <f t="shared" ref="P142:P143" si="24">1000*((3.418/L142)+((10.731-3.418)/(2*L142)))</f>
        <v>2.4667015341701535</v>
      </c>
      <c r="Q142" s="32">
        <f t="shared" ref="Q142:Q143" si="25">K142/P142</f>
        <v>0.86755530426178529</v>
      </c>
    </row>
    <row r="143" spans="2:17">
      <c r="C143">
        <v>12</v>
      </c>
      <c r="D143">
        <v>10.5</v>
      </c>
      <c r="E143">
        <v>85</v>
      </c>
      <c r="F143">
        <v>160.25899999999999</v>
      </c>
      <c r="G143">
        <v>2.617</v>
      </c>
      <c r="H143" t="s">
        <v>160</v>
      </c>
      <c r="I143">
        <v>190</v>
      </c>
      <c r="J143">
        <v>5.6470000000000002</v>
      </c>
      <c r="K143">
        <v>1.9810000000000001</v>
      </c>
      <c r="L143">
        <v>2662</v>
      </c>
      <c r="M143">
        <v>10</v>
      </c>
      <c r="N143">
        <v>11.023</v>
      </c>
      <c r="O143" s="14">
        <f t="shared" si="23"/>
        <v>0.10230000000000006</v>
      </c>
      <c r="P143" s="33">
        <f t="shared" si="24"/>
        <v>2.6575882794891061</v>
      </c>
      <c r="Q143" s="32">
        <f t="shared" si="25"/>
        <v>0.74541267934129618</v>
      </c>
    </row>
    <row r="144" spans="2:17">
      <c r="O144" s="14"/>
      <c r="P144" s="33"/>
      <c r="Q144" s="32"/>
    </row>
    <row r="145" spans="2:17">
      <c r="C145">
        <v>12</v>
      </c>
      <c r="D145">
        <v>10.5</v>
      </c>
      <c r="E145">
        <v>85</v>
      </c>
      <c r="F145">
        <v>108.955</v>
      </c>
      <c r="G145">
        <v>1.0389999999999999</v>
      </c>
      <c r="H145" t="s">
        <v>162</v>
      </c>
      <c r="I145">
        <v>180</v>
      </c>
      <c r="J145">
        <v>2.6909999999999998</v>
      </c>
      <c r="K145">
        <v>3.3929999999999998</v>
      </c>
      <c r="L145">
        <v>1992</v>
      </c>
      <c r="M145">
        <v>4</v>
      </c>
      <c r="N145">
        <v>4.4169999999999998</v>
      </c>
      <c r="O145" s="14">
        <f t="shared" ref="O145" si="26">(N145/M145)-1</f>
        <v>0.10424999999999995</v>
      </c>
      <c r="P145" s="33">
        <f t="shared" ref="P145" si="27">1000*((3.418/L145)+((10.731-3.418)/(2*L145)))</f>
        <v>3.5514558232931726</v>
      </c>
      <c r="Q145" s="32">
        <f t="shared" ref="Q145" si="28">K145/P145</f>
        <v>0.95538285391193722</v>
      </c>
    </row>
    <row r="146" spans="2:17">
      <c r="C146">
        <v>12</v>
      </c>
      <c r="D146">
        <v>10.5</v>
      </c>
      <c r="E146">
        <v>85</v>
      </c>
      <c r="F146">
        <v>79.427999999999997</v>
      </c>
      <c r="G146">
        <v>1.095</v>
      </c>
      <c r="H146" t="s">
        <v>163</v>
      </c>
      <c r="I146">
        <v>185</v>
      </c>
      <c r="J146">
        <v>3.82</v>
      </c>
      <c r="K146">
        <v>2.6829999999999998</v>
      </c>
      <c r="L146">
        <v>1983</v>
      </c>
      <c r="M146">
        <v>5</v>
      </c>
      <c r="N146">
        <v>5.4909999999999997</v>
      </c>
      <c r="O146" s="14">
        <f t="shared" ref="O146" si="29">(N146/M146)-1</f>
        <v>9.8199999999999843E-2</v>
      </c>
      <c r="P146" s="33">
        <f t="shared" ref="P146" si="30">1000*((3.418/L146)+((10.731-3.418)/(2*L146)))</f>
        <v>3.5675743822491173</v>
      </c>
      <c r="Q146" s="32">
        <f t="shared" ref="Q146" si="31">K146/P146</f>
        <v>0.75205159375220865</v>
      </c>
    </row>
    <row r="148" spans="2:17">
      <c r="C148">
        <v>15</v>
      </c>
    </row>
    <row r="150" spans="2:17">
      <c r="C150">
        <v>25</v>
      </c>
      <c r="D150">
        <v>10.5</v>
      </c>
      <c r="E150">
        <v>85</v>
      </c>
      <c r="F150">
        <v>44.151000000000003</v>
      </c>
      <c r="G150">
        <v>0.49</v>
      </c>
      <c r="H150" t="s">
        <v>164</v>
      </c>
      <c r="I150">
        <v>70</v>
      </c>
      <c r="J150">
        <v>9.2330000000000005</v>
      </c>
      <c r="K150">
        <v>1.9490000000000001</v>
      </c>
      <c r="L150">
        <v>1707</v>
      </c>
      <c r="M150">
        <v>4</v>
      </c>
      <c r="N150">
        <v>4.4340000000000002</v>
      </c>
    </row>
    <row r="152" spans="2:17">
      <c r="B152" s="2" t="s">
        <v>156</v>
      </c>
      <c r="C152" s="94" t="s">
        <v>147</v>
      </c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</row>
    <row r="153" spans="2:17">
      <c r="B153" s="27" t="s">
        <v>0</v>
      </c>
      <c r="C153" s="5" t="s">
        <v>8</v>
      </c>
      <c r="D153" s="5" t="s">
        <v>9</v>
      </c>
      <c r="E153" s="5" t="s">
        <v>17</v>
      </c>
      <c r="F153" s="5" t="s">
        <v>10</v>
      </c>
      <c r="G153" s="5" t="s">
        <v>11</v>
      </c>
      <c r="H153" s="5" t="s">
        <v>19</v>
      </c>
      <c r="I153" s="5" t="s">
        <v>13</v>
      </c>
      <c r="J153" s="5" t="s">
        <v>18</v>
      </c>
      <c r="K153" s="5" t="s">
        <v>12</v>
      </c>
      <c r="L153" s="5" t="s">
        <v>88</v>
      </c>
      <c r="M153" s="5" t="s">
        <v>90</v>
      </c>
      <c r="N153" s="5" t="s">
        <v>91</v>
      </c>
      <c r="O153" s="5" t="s">
        <v>92</v>
      </c>
      <c r="P153" s="35" t="s">
        <v>144</v>
      </c>
      <c r="Q153" s="5" t="s">
        <v>145</v>
      </c>
    </row>
    <row r="154" spans="2:17">
      <c r="B154" s="2" t="s">
        <v>1</v>
      </c>
      <c r="C154" s="95">
        <v>15</v>
      </c>
      <c r="D154" s="95">
        <v>10.5</v>
      </c>
      <c r="E154" s="15">
        <v>77</v>
      </c>
      <c r="F154" s="13"/>
      <c r="G154" s="1"/>
      <c r="H154" s="3"/>
      <c r="I154" s="1"/>
      <c r="J154" s="1"/>
      <c r="K154" s="1"/>
      <c r="L154" s="1"/>
      <c r="M154" s="1"/>
      <c r="N154" s="1"/>
      <c r="O154" s="14" t="e">
        <f t="shared" ref="O154:O159" si="32">(N154/M154)-1</f>
        <v>#DIV/0!</v>
      </c>
      <c r="P154" s="33" t="e">
        <f t="shared" ref="P154:P159" si="33">1000*((3.418/L154)+((10.731-3.418)/(2*L154)))</f>
        <v>#DIV/0!</v>
      </c>
      <c r="Q154" s="32" t="e">
        <f t="shared" ref="Q154:Q159" si="34">K154/P154</f>
        <v>#DIV/0!</v>
      </c>
    </row>
    <row r="155" spans="2:17">
      <c r="B155" s="2" t="s">
        <v>2</v>
      </c>
      <c r="C155" s="95"/>
      <c r="D155" s="95"/>
      <c r="E155" s="1">
        <v>72.099999999999994</v>
      </c>
      <c r="F155" s="13"/>
      <c r="G155" s="1"/>
      <c r="H155" s="3"/>
      <c r="I155" s="1"/>
      <c r="J155" s="1"/>
      <c r="K155" s="1"/>
      <c r="L155" s="1"/>
      <c r="M155" s="1"/>
      <c r="N155" s="1"/>
      <c r="O155" s="14" t="e">
        <f t="shared" si="32"/>
        <v>#DIV/0!</v>
      </c>
      <c r="P155" s="33" t="e">
        <f t="shared" si="33"/>
        <v>#DIV/0!</v>
      </c>
      <c r="Q155" s="32" t="e">
        <f t="shared" si="34"/>
        <v>#DIV/0!</v>
      </c>
    </row>
    <row r="156" spans="2:17">
      <c r="B156" s="2" t="s">
        <v>3</v>
      </c>
      <c r="C156" s="95"/>
      <c r="D156" s="95"/>
      <c r="E156" s="1">
        <v>85</v>
      </c>
      <c r="F156" s="13">
        <v>97.545000000000002</v>
      </c>
      <c r="G156" s="1">
        <v>1.399</v>
      </c>
      <c r="H156" s="3" t="s">
        <v>167</v>
      </c>
      <c r="I156" s="1">
        <v>98</v>
      </c>
      <c r="J156" s="1">
        <v>4.3940000000000001</v>
      </c>
      <c r="K156" s="1">
        <v>1.59</v>
      </c>
      <c r="L156" s="1">
        <v>2293</v>
      </c>
      <c r="M156" s="1">
        <v>8</v>
      </c>
      <c r="N156" s="1">
        <v>8.7430000000000003</v>
      </c>
      <c r="O156" s="14">
        <f t="shared" si="32"/>
        <v>9.2875000000000041E-2</v>
      </c>
      <c r="P156" s="33">
        <f t="shared" si="33"/>
        <v>3.0852594853903179</v>
      </c>
      <c r="Q156" s="32">
        <f t="shared" si="34"/>
        <v>0.51535373524630723</v>
      </c>
    </row>
    <row r="157" spans="2:17">
      <c r="B157" s="2" t="s">
        <v>4</v>
      </c>
      <c r="C157" s="95"/>
      <c r="D157" s="95"/>
      <c r="E157" s="1">
        <v>77</v>
      </c>
      <c r="F157" s="13">
        <v>93.221999999999994</v>
      </c>
      <c r="G157" s="1">
        <v>1.423</v>
      </c>
      <c r="H157" s="3" t="s">
        <v>159</v>
      </c>
      <c r="I157" s="1">
        <v>110</v>
      </c>
      <c r="J157" s="37">
        <v>3812</v>
      </c>
      <c r="K157" s="1">
        <v>1.6259999999999999</v>
      </c>
      <c r="L157" s="1">
        <v>2534</v>
      </c>
      <c r="M157" s="1">
        <v>8</v>
      </c>
      <c r="N157" s="1">
        <v>8.7390000000000008</v>
      </c>
      <c r="O157" s="14">
        <f t="shared" si="32"/>
        <v>9.2375000000000096E-2</v>
      </c>
      <c r="P157" s="33">
        <f t="shared" si="33"/>
        <v>2.7918310970797156</v>
      </c>
      <c r="Q157" s="32">
        <f t="shared" si="34"/>
        <v>0.582413456781398</v>
      </c>
    </row>
    <row r="158" spans="2:17">
      <c r="B158" s="2" t="s">
        <v>5</v>
      </c>
      <c r="C158" s="95"/>
      <c r="D158" s="95"/>
      <c r="E158" s="3">
        <v>72.099999999999994</v>
      </c>
      <c r="F158" s="13">
        <v>91.438999999999993</v>
      </c>
      <c r="G158" s="1">
        <v>1.446</v>
      </c>
      <c r="H158" s="7" t="s">
        <v>166</v>
      </c>
      <c r="I158" s="1">
        <v>120</v>
      </c>
      <c r="J158" s="1">
        <v>2.6080000000000001</v>
      </c>
      <c r="K158" s="1">
        <v>1.651</v>
      </c>
      <c r="L158" s="1">
        <v>2700</v>
      </c>
      <c r="M158" s="1">
        <v>8</v>
      </c>
      <c r="N158" s="1">
        <v>8.7289999999999992</v>
      </c>
      <c r="O158" s="14">
        <f t="shared" si="32"/>
        <v>9.1124999999999901E-2</v>
      </c>
      <c r="P158" s="33">
        <f t="shared" si="33"/>
        <v>2.6201851851851856</v>
      </c>
      <c r="Q158" s="32">
        <f t="shared" si="34"/>
        <v>0.63010813485051942</v>
      </c>
    </row>
    <row r="159" spans="2:17">
      <c r="B159" s="2" t="s">
        <v>6</v>
      </c>
      <c r="C159" s="95"/>
      <c r="D159" s="95"/>
      <c r="E159" s="3">
        <v>65</v>
      </c>
      <c r="F159" s="13">
        <v>89.570999999999998</v>
      </c>
      <c r="G159" s="1">
        <v>1.48</v>
      </c>
      <c r="H159" s="7" t="s">
        <v>165</v>
      </c>
      <c r="I159" s="1">
        <v>135</v>
      </c>
      <c r="J159" s="1">
        <v>4.4909999999999997</v>
      </c>
      <c r="K159" s="1">
        <v>1.6739999999999999</v>
      </c>
      <c r="L159" s="1">
        <v>2973</v>
      </c>
      <c r="M159" s="1">
        <v>8</v>
      </c>
      <c r="N159" s="1">
        <v>8.6790000000000003</v>
      </c>
      <c r="O159" s="14">
        <f t="shared" si="32"/>
        <v>8.4875000000000034E-2</v>
      </c>
      <c r="P159" s="33">
        <f t="shared" si="33"/>
        <v>2.3795829128826105</v>
      </c>
      <c r="Q159" s="32">
        <f t="shared" si="34"/>
        <v>0.70348462788889665</v>
      </c>
    </row>
    <row r="161" spans="2:17">
      <c r="B161" s="2" t="s">
        <v>176</v>
      </c>
      <c r="C161" s="94" t="s">
        <v>177</v>
      </c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</row>
    <row r="162" spans="2:17">
      <c r="B162" s="27" t="s">
        <v>0</v>
      </c>
      <c r="C162" s="5" t="s">
        <v>8</v>
      </c>
      <c r="D162" s="5" t="s">
        <v>9</v>
      </c>
      <c r="E162" s="5" t="s">
        <v>17</v>
      </c>
      <c r="F162" s="5" t="s">
        <v>10</v>
      </c>
      <c r="G162" s="5" t="s">
        <v>11</v>
      </c>
      <c r="H162" s="5" t="s">
        <v>178</v>
      </c>
      <c r="I162" s="5" t="s">
        <v>13</v>
      </c>
      <c r="J162" s="5" t="s">
        <v>18</v>
      </c>
      <c r="K162" s="5" t="s">
        <v>12</v>
      </c>
      <c r="L162" s="5" t="s">
        <v>88</v>
      </c>
      <c r="M162" s="5" t="s">
        <v>90</v>
      </c>
      <c r="N162" s="5" t="s">
        <v>91</v>
      </c>
      <c r="O162" s="5" t="s">
        <v>92</v>
      </c>
      <c r="P162" s="35" t="s">
        <v>144</v>
      </c>
      <c r="Q162" s="5" t="s">
        <v>145</v>
      </c>
    </row>
    <row r="163" spans="2:17">
      <c r="B163" s="9" t="s">
        <v>1</v>
      </c>
      <c r="C163" s="96">
        <v>15</v>
      </c>
      <c r="D163" s="96">
        <v>10.5</v>
      </c>
      <c r="E163" s="15">
        <v>85</v>
      </c>
      <c r="F163" s="15">
        <v>43.804000000000002</v>
      </c>
      <c r="G163" s="1">
        <v>0.66800000000000004</v>
      </c>
      <c r="H163" s="3" t="s">
        <v>173</v>
      </c>
      <c r="I163" s="1">
        <v>142</v>
      </c>
      <c r="J163" s="1">
        <v>1.39</v>
      </c>
      <c r="K163" s="1">
        <v>2.5329999999999999</v>
      </c>
      <c r="L163" s="1">
        <v>1744</v>
      </c>
      <c r="M163" s="1">
        <v>4</v>
      </c>
      <c r="N163" s="1">
        <v>4.3920000000000003</v>
      </c>
      <c r="O163" s="16">
        <f>(N163/M163)-1</f>
        <v>9.8000000000000087E-2</v>
      </c>
      <c r="P163" s="33">
        <f>1000*(3.418/L163)</f>
        <v>1.959862385321101</v>
      </c>
      <c r="Q163" s="32">
        <f>K163/P163</f>
        <v>1.2924376828554709</v>
      </c>
    </row>
    <row r="164" spans="2:17">
      <c r="B164" s="9" t="s">
        <v>2</v>
      </c>
      <c r="C164" s="96"/>
      <c r="D164" s="96"/>
      <c r="E164" s="1">
        <v>77</v>
      </c>
      <c r="F164" s="15">
        <v>43.804000000000002</v>
      </c>
      <c r="G164" s="1">
        <v>0.66900000000000004</v>
      </c>
      <c r="H164" s="29" t="s">
        <v>174</v>
      </c>
      <c r="I164" s="1">
        <v>142</v>
      </c>
      <c r="J164" s="1">
        <v>0.80700000000000005</v>
      </c>
      <c r="K164" s="1">
        <v>2.5489999999999999</v>
      </c>
      <c r="L164" s="1">
        <v>1906</v>
      </c>
      <c r="M164" s="15">
        <v>4</v>
      </c>
      <c r="N164" s="1">
        <v>4.3949999999999996</v>
      </c>
      <c r="O164" s="16">
        <f t="shared" ref="O164:O166" si="35">(N164/M164)-1</f>
        <v>9.8749999999999893E-2</v>
      </c>
      <c r="P164" s="33">
        <f t="shared" ref="P164:P166" si="36">1000*(3.418/L164)</f>
        <v>1.7932843651626442</v>
      </c>
      <c r="Q164" s="32">
        <f t="shared" ref="Q164:Q166" si="37">K164/P164</f>
        <v>1.4214142773551786</v>
      </c>
    </row>
    <row r="165" spans="2:17">
      <c r="B165" s="9" t="s">
        <v>3</v>
      </c>
      <c r="C165" s="96"/>
      <c r="D165" s="96"/>
      <c r="E165" s="1">
        <v>72.099999999999994</v>
      </c>
      <c r="F165" s="15">
        <v>43.804000000000002</v>
      </c>
      <c r="G165" s="1">
        <v>0.66900000000000004</v>
      </c>
      <c r="H165" s="3" t="s">
        <v>175</v>
      </c>
      <c r="I165" s="1">
        <v>142</v>
      </c>
      <c r="J165" s="1">
        <v>0.68799999999999994</v>
      </c>
      <c r="K165" s="1">
        <v>2.5470000000000002</v>
      </c>
      <c r="L165" s="1">
        <v>2015</v>
      </c>
      <c r="M165" s="1">
        <v>4</v>
      </c>
      <c r="N165" s="1">
        <v>4.3970000000000002</v>
      </c>
      <c r="O165" s="16">
        <f t="shared" si="35"/>
        <v>9.925000000000006E-2</v>
      </c>
      <c r="P165" s="33">
        <f t="shared" si="36"/>
        <v>1.6962779156327545</v>
      </c>
      <c r="Q165" s="32">
        <f t="shared" si="37"/>
        <v>1.5015228203627851</v>
      </c>
    </row>
    <row r="166" spans="2:17">
      <c r="B166" s="9" t="s">
        <v>4</v>
      </c>
      <c r="C166" s="96"/>
      <c r="D166" s="96"/>
      <c r="E166" s="1">
        <v>65</v>
      </c>
      <c r="F166" s="15">
        <v>43.804000000000002</v>
      </c>
      <c r="G166" s="15">
        <v>0.66800000000000004</v>
      </c>
      <c r="H166" s="15" t="s">
        <v>172</v>
      </c>
      <c r="I166" s="1">
        <v>142</v>
      </c>
      <c r="J166" s="15">
        <v>1.1639999999999999</v>
      </c>
      <c r="K166" s="15">
        <v>2.54</v>
      </c>
      <c r="L166" s="15">
        <v>2189</v>
      </c>
      <c r="M166" s="15">
        <v>4</v>
      </c>
      <c r="N166" s="15">
        <v>4.391</v>
      </c>
      <c r="O166" s="16">
        <f t="shared" si="35"/>
        <v>9.7750000000000004E-2</v>
      </c>
      <c r="P166" s="33">
        <f t="shared" si="36"/>
        <v>1.5614435815440841</v>
      </c>
      <c r="Q166" s="32">
        <f t="shared" si="37"/>
        <v>1.6266998244587478</v>
      </c>
    </row>
    <row r="167" spans="2:17">
      <c r="B167" s="9" t="s">
        <v>5</v>
      </c>
      <c r="C167" s="96"/>
      <c r="D167" s="96"/>
      <c r="E167" s="1">
        <v>85</v>
      </c>
      <c r="F167" s="1">
        <v>87.608000000000004</v>
      </c>
      <c r="G167" s="1">
        <v>1.534</v>
      </c>
      <c r="H167" s="29" t="s">
        <v>171</v>
      </c>
      <c r="I167" s="1">
        <v>142</v>
      </c>
      <c r="J167" s="1">
        <v>5.7679999999999998</v>
      </c>
      <c r="K167" s="1">
        <v>1.8109999999999999</v>
      </c>
      <c r="L167" s="1">
        <v>2362</v>
      </c>
      <c r="M167" s="15">
        <v>8</v>
      </c>
      <c r="N167" s="1">
        <v>8.7650000000000006</v>
      </c>
      <c r="O167" s="16">
        <f>(N167/M167)-1</f>
        <v>9.5625000000000071E-2</v>
      </c>
      <c r="P167" s="33">
        <f>1000*(3.418/L167)</f>
        <v>1.447078746824725</v>
      </c>
      <c r="Q167" s="32">
        <f>K167/P167</f>
        <v>1.2514868344060852</v>
      </c>
    </row>
    <row r="168" spans="2:17">
      <c r="B168" s="9" t="s">
        <v>6</v>
      </c>
      <c r="C168" s="96"/>
      <c r="D168" s="96"/>
      <c r="E168" s="1">
        <v>77</v>
      </c>
      <c r="F168" s="1">
        <v>87.608000000000004</v>
      </c>
      <c r="G168" s="1">
        <v>1.54</v>
      </c>
      <c r="H168" s="29" t="s">
        <v>170</v>
      </c>
      <c r="I168" s="1">
        <v>142</v>
      </c>
      <c r="J168" s="1">
        <v>4.9029999999999996</v>
      </c>
      <c r="K168" s="1">
        <v>1.837</v>
      </c>
      <c r="L168" s="1">
        <v>2581</v>
      </c>
      <c r="M168" s="15">
        <v>8</v>
      </c>
      <c r="N168" s="1">
        <v>8.7970000000000006</v>
      </c>
      <c r="O168" s="16">
        <f>(N168/M168)-1</f>
        <v>9.9625000000000075E-2</v>
      </c>
      <c r="P168" s="33">
        <f t="shared" ref="P168:P170" si="38">1000*(3.418/L168)</f>
        <v>1.324292909724913</v>
      </c>
      <c r="Q168" s="32">
        <f>K168/P168</f>
        <v>1.3871553540081918</v>
      </c>
    </row>
    <row r="169" spans="2:17">
      <c r="B169" s="9" t="s">
        <v>7</v>
      </c>
      <c r="C169" s="96"/>
      <c r="D169" s="96"/>
      <c r="E169" s="1">
        <v>72.099999999999994</v>
      </c>
      <c r="F169" s="1">
        <v>87.608000000000004</v>
      </c>
      <c r="G169" s="1">
        <v>1.5369999999999999</v>
      </c>
      <c r="H169" s="29" t="s">
        <v>168</v>
      </c>
      <c r="I169" s="1">
        <v>142</v>
      </c>
      <c r="J169" s="1">
        <v>5.327</v>
      </c>
      <c r="K169" s="1">
        <v>1.8220000000000001</v>
      </c>
      <c r="L169" s="1">
        <v>2733</v>
      </c>
      <c r="M169" s="1">
        <v>8</v>
      </c>
      <c r="N169" s="1">
        <v>8.7799999999999994</v>
      </c>
      <c r="O169" s="16">
        <f>(N169/M169)-1</f>
        <v>9.749999999999992E-2</v>
      </c>
      <c r="P169" s="33">
        <f t="shared" si="38"/>
        <v>1.2506403219904867</v>
      </c>
      <c r="Q169" s="32">
        <f>K169/P169</f>
        <v>1.4568537156231713</v>
      </c>
    </row>
    <row r="170" spans="2:17">
      <c r="B170" s="9" t="s">
        <v>20</v>
      </c>
      <c r="C170" s="96"/>
      <c r="D170" s="96"/>
      <c r="E170" s="1">
        <v>65</v>
      </c>
      <c r="F170" s="1">
        <v>87.608000000000004</v>
      </c>
      <c r="G170" s="1">
        <v>1.5369999999999999</v>
      </c>
      <c r="H170" s="29" t="s">
        <v>169</v>
      </c>
      <c r="I170" s="1">
        <v>142</v>
      </c>
      <c r="J170" s="1">
        <v>5.274</v>
      </c>
      <c r="K170" s="1">
        <v>1.821</v>
      </c>
      <c r="L170" s="1">
        <v>2968</v>
      </c>
      <c r="M170" s="1">
        <v>8</v>
      </c>
      <c r="N170" s="1">
        <v>8.782</v>
      </c>
      <c r="O170" s="16">
        <f>(N170/M170)-1</f>
        <v>9.7750000000000004E-2</v>
      </c>
      <c r="P170" s="33">
        <f t="shared" si="38"/>
        <v>1.1516172506738545</v>
      </c>
      <c r="Q170" s="32">
        <f>K170/P170</f>
        <v>1.5812545348156817</v>
      </c>
    </row>
  </sheetData>
  <mergeCells count="53">
    <mergeCell ref="C132:Q132"/>
    <mergeCell ref="C134:C139"/>
    <mergeCell ref="D134:D139"/>
    <mergeCell ref="C105:O105"/>
    <mergeCell ref="D107:D112"/>
    <mergeCell ref="C107:C112"/>
    <mergeCell ref="C114:O114"/>
    <mergeCell ref="C116:C121"/>
    <mergeCell ref="D116:D121"/>
    <mergeCell ref="C125:C130"/>
    <mergeCell ref="D125:D130"/>
    <mergeCell ref="C123:Q123"/>
    <mergeCell ref="C98:C103"/>
    <mergeCell ref="D98:D103"/>
    <mergeCell ref="C96:O96"/>
    <mergeCell ref="D66:D70"/>
    <mergeCell ref="C66:C75"/>
    <mergeCell ref="D71:D75"/>
    <mergeCell ref="D79:D85"/>
    <mergeCell ref="C79:C85"/>
    <mergeCell ref="C87:O87"/>
    <mergeCell ref="D89:D94"/>
    <mergeCell ref="C89:C94"/>
    <mergeCell ref="C15:C18"/>
    <mergeCell ref="D15:D18"/>
    <mergeCell ref="C19:C22"/>
    <mergeCell ref="D19:D22"/>
    <mergeCell ref="D23:D26"/>
    <mergeCell ref="C23:C26"/>
    <mergeCell ref="C27:C30"/>
    <mergeCell ref="D27:D30"/>
    <mergeCell ref="C31:C34"/>
    <mergeCell ref="D31:D34"/>
    <mergeCell ref="C35:C38"/>
    <mergeCell ref="D35:D38"/>
    <mergeCell ref="C39:C42"/>
    <mergeCell ref="D39:D42"/>
    <mergeCell ref="C43:C46"/>
    <mergeCell ref="D43:D46"/>
    <mergeCell ref="C47:C50"/>
    <mergeCell ref="D47:D50"/>
    <mergeCell ref="C51:C54"/>
    <mergeCell ref="D51:D54"/>
    <mergeCell ref="C55:C58"/>
    <mergeCell ref="D55:D58"/>
    <mergeCell ref="C59:C62"/>
    <mergeCell ref="D59:D62"/>
    <mergeCell ref="C152:Q152"/>
    <mergeCell ref="C154:C159"/>
    <mergeCell ref="D154:D159"/>
    <mergeCell ref="D163:D170"/>
    <mergeCell ref="C163:C170"/>
    <mergeCell ref="C161:Q16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F26B-03AD-4CAD-A2D4-8FE364E530FA}">
  <dimension ref="C2:X98"/>
  <sheetViews>
    <sheetView topLeftCell="B1" zoomScale="80" zoomScaleNormal="80" workbookViewId="0">
      <selection activeCell="C61" sqref="C61"/>
    </sheetView>
  </sheetViews>
  <sheetFormatPr defaultRowHeight="13.8"/>
  <cols>
    <col min="3" max="3" width="27.09765625" bestFit="1" customWidth="1"/>
    <col min="4" max="4" width="4.09765625" customWidth="1"/>
    <col min="5" max="5" width="15.69921875" bestFit="1" customWidth="1"/>
    <col min="6" max="6" width="16.296875" bestFit="1" customWidth="1"/>
    <col min="7" max="7" width="13.69921875" bestFit="1" customWidth="1"/>
    <col min="8" max="8" width="14.59765625" bestFit="1" customWidth="1"/>
    <col min="9" max="9" width="19.296875" bestFit="1" customWidth="1"/>
    <col min="10" max="10" width="12.69921875" bestFit="1" customWidth="1"/>
    <col min="11" max="11" width="16.296875" bestFit="1" customWidth="1"/>
    <col min="12" max="12" width="10.8984375" bestFit="1" customWidth="1"/>
    <col min="13" max="13" width="11.59765625" bestFit="1" customWidth="1"/>
    <col min="14" max="14" width="13.59765625" bestFit="1" customWidth="1"/>
    <col min="15" max="15" width="14.59765625" bestFit="1" customWidth="1"/>
    <col min="16" max="16" width="7.59765625" bestFit="1" customWidth="1"/>
    <col min="17" max="17" width="9.59765625" bestFit="1" customWidth="1"/>
    <col min="18" max="18" width="9.3984375" bestFit="1" customWidth="1"/>
  </cols>
  <sheetData>
    <row r="2" spans="3:18" ht="14.4" thickBot="1"/>
    <row r="3" spans="3:18" ht="14.4" thickBot="1">
      <c r="C3" s="41" t="s">
        <v>176</v>
      </c>
      <c r="D3" s="109" t="s">
        <v>191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1"/>
    </row>
    <row r="4" spans="3:18" ht="14.4" thickBot="1">
      <c r="C4" s="42" t="s">
        <v>0</v>
      </c>
      <c r="D4" s="42" t="s">
        <v>8</v>
      </c>
      <c r="E4" s="42" t="s">
        <v>9</v>
      </c>
      <c r="F4" s="42" t="s">
        <v>17</v>
      </c>
      <c r="G4" s="42" t="s">
        <v>188</v>
      </c>
      <c r="H4" s="42" t="s">
        <v>10</v>
      </c>
      <c r="I4" s="42" t="s">
        <v>187</v>
      </c>
      <c r="J4" s="42" t="s">
        <v>13</v>
      </c>
      <c r="K4" s="42" t="s">
        <v>18</v>
      </c>
      <c r="L4" s="42" t="s">
        <v>90</v>
      </c>
      <c r="M4" s="42" t="s">
        <v>91</v>
      </c>
      <c r="N4" s="42" t="s">
        <v>92</v>
      </c>
      <c r="O4" s="42" t="s">
        <v>12</v>
      </c>
      <c r="P4" s="54" t="s">
        <v>144</v>
      </c>
      <c r="Q4" s="42" t="s">
        <v>145</v>
      </c>
      <c r="R4" s="58" t="s">
        <v>88</v>
      </c>
    </row>
    <row r="5" spans="3:18">
      <c r="C5" s="38" t="s">
        <v>179</v>
      </c>
      <c r="D5" s="112">
        <v>15</v>
      </c>
      <c r="E5" s="112">
        <v>10.5</v>
      </c>
      <c r="F5" s="43">
        <v>85</v>
      </c>
      <c r="G5" s="48">
        <v>0.66800000000000004</v>
      </c>
      <c r="H5" s="43">
        <v>43.804000000000002</v>
      </c>
      <c r="I5" s="48" t="s">
        <v>173</v>
      </c>
      <c r="J5" s="48">
        <v>142</v>
      </c>
      <c r="K5" s="48">
        <v>1.39</v>
      </c>
      <c r="L5" s="48">
        <v>4</v>
      </c>
      <c r="M5" s="48">
        <v>4.3920000000000003</v>
      </c>
      <c r="N5" s="51">
        <f>(M5/L5)-1</f>
        <v>9.8000000000000087E-2</v>
      </c>
      <c r="O5" s="48">
        <v>2.5329999999999999</v>
      </c>
      <c r="P5" s="55">
        <f t="shared" ref="P5:P12" si="0">1000*(3.418/R5)</f>
        <v>1.959862385321101</v>
      </c>
      <c r="Q5" s="63">
        <f t="shared" ref="Q5:Q12" si="1">O5/P5</f>
        <v>1.2924376828554709</v>
      </c>
      <c r="R5" s="59">
        <v>1744</v>
      </c>
    </row>
    <row r="6" spans="3:18">
      <c r="C6" s="39" t="s">
        <v>180</v>
      </c>
      <c r="D6" s="113"/>
      <c r="E6" s="113"/>
      <c r="F6" s="46">
        <v>77</v>
      </c>
      <c r="G6" s="46">
        <v>0.66900000000000004</v>
      </c>
      <c r="H6" s="44">
        <v>43.804000000000002</v>
      </c>
      <c r="I6" s="49" t="s">
        <v>174</v>
      </c>
      <c r="J6" s="46">
        <v>142</v>
      </c>
      <c r="K6" s="46">
        <v>0.80700000000000005</v>
      </c>
      <c r="L6" s="44">
        <v>4</v>
      </c>
      <c r="M6" s="46">
        <v>4.3949999999999996</v>
      </c>
      <c r="N6" s="52">
        <f t="shared" ref="N6:N8" si="2">(M6/L6)-1</f>
        <v>9.8749999999999893E-2</v>
      </c>
      <c r="O6" s="46">
        <v>2.5489999999999999</v>
      </c>
      <c r="P6" s="56">
        <f t="shared" si="0"/>
        <v>1.7932843651626442</v>
      </c>
      <c r="Q6" s="64">
        <f t="shared" si="1"/>
        <v>1.4214142773551786</v>
      </c>
      <c r="R6" s="60">
        <v>1906</v>
      </c>
    </row>
    <row r="7" spans="3:18">
      <c r="C7" s="39" t="s">
        <v>181</v>
      </c>
      <c r="D7" s="113"/>
      <c r="E7" s="113"/>
      <c r="F7" s="46">
        <v>72.099999999999994</v>
      </c>
      <c r="G7" s="46">
        <v>0.66900000000000004</v>
      </c>
      <c r="H7" s="44">
        <v>43.804000000000002</v>
      </c>
      <c r="I7" s="46" t="s">
        <v>175</v>
      </c>
      <c r="J7" s="46">
        <v>142</v>
      </c>
      <c r="K7" s="46">
        <v>0.68799999999999994</v>
      </c>
      <c r="L7" s="46">
        <v>4</v>
      </c>
      <c r="M7" s="46">
        <v>4.3970000000000002</v>
      </c>
      <c r="N7" s="52">
        <f t="shared" si="2"/>
        <v>9.925000000000006E-2</v>
      </c>
      <c r="O7" s="46">
        <v>2.5470000000000002</v>
      </c>
      <c r="P7" s="56">
        <f t="shared" si="0"/>
        <v>1.6962779156327545</v>
      </c>
      <c r="Q7" s="64">
        <f t="shared" si="1"/>
        <v>1.5015228203627851</v>
      </c>
      <c r="R7" s="60">
        <v>2015</v>
      </c>
    </row>
    <row r="8" spans="3:18">
      <c r="C8" s="39" t="s">
        <v>182</v>
      </c>
      <c r="D8" s="113"/>
      <c r="E8" s="113"/>
      <c r="F8" s="46">
        <v>65</v>
      </c>
      <c r="G8" s="44">
        <v>0.66800000000000004</v>
      </c>
      <c r="H8" s="44">
        <v>43.804000000000002</v>
      </c>
      <c r="I8" s="44" t="s">
        <v>172</v>
      </c>
      <c r="J8" s="46">
        <v>142</v>
      </c>
      <c r="K8" s="44">
        <v>1.1639999999999999</v>
      </c>
      <c r="L8" s="44">
        <v>4</v>
      </c>
      <c r="M8" s="44">
        <v>4.391</v>
      </c>
      <c r="N8" s="52">
        <f t="shared" si="2"/>
        <v>9.7750000000000004E-2</v>
      </c>
      <c r="O8" s="44">
        <v>2.54</v>
      </c>
      <c r="P8" s="56">
        <f t="shared" si="0"/>
        <v>1.5614435815440841</v>
      </c>
      <c r="Q8" s="64">
        <f t="shared" si="1"/>
        <v>1.6266998244587478</v>
      </c>
      <c r="R8" s="61">
        <v>2189</v>
      </c>
    </row>
    <row r="9" spans="3:18">
      <c r="C9" s="39" t="s">
        <v>183</v>
      </c>
      <c r="D9" s="113"/>
      <c r="E9" s="113"/>
      <c r="F9" s="46">
        <v>85</v>
      </c>
      <c r="G9" s="46">
        <v>1.534</v>
      </c>
      <c r="H9" s="46">
        <v>87.608000000000004</v>
      </c>
      <c r="I9" s="49" t="s">
        <v>171</v>
      </c>
      <c r="J9" s="46">
        <v>142</v>
      </c>
      <c r="K9" s="46">
        <v>5.7679999999999998</v>
      </c>
      <c r="L9" s="44">
        <v>8</v>
      </c>
      <c r="M9" s="46">
        <v>8.7650000000000006</v>
      </c>
      <c r="N9" s="52">
        <f>(M9/L9)-1</f>
        <v>9.5625000000000071E-2</v>
      </c>
      <c r="O9" s="46">
        <v>1.8109999999999999</v>
      </c>
      <c r="P9" s="56">
        <f t="shared" si="0"/>
        <v>1.447078746824725</v>
      </c>
      <c r="Q9" s="64">
        <f t="shared" si="1"/>
        <v>1.2514868344060852</v>
      </c>
      <c r="R9" s="60">
        <v>2362</v>
      </c>
    </row>
    <row r="10" spans="3:18">
      <c r="C10" s="39" t="s">
        <v>184</v>
      </c>
      <c r="D10" s="113"/>
      <c r="E10" s="113"/>
      <c r="F10" s="46">
        <v>77</v>
      </c>
      <c r="G10" s="46">
        <v>1.54</v>
      </c>
      <c r="H10" s="46">
        <v>87.608000000000004</v>
      </c>
      <c r="I10" s="49" t="s">
        <v>170</v>
      </c>
      <c r="J10" s="46">
        <v>142</v>
      </c>
      <c r="K10" s="46">
        <v>4.9029999999999996</v>
      </c>
      <c r="L10" s="44">
        <v>8</v>
      </c>
      <c r="M10" s="46">
        <v>8.7970000000000006</v>
      </c>
      <c r="N10" s="52">
        <f>(M10/L10)-1</f>
        <v>9.9625000000000075E-2</v>
      </c>
      <c r="O10" s="46">
        <v>1.837</v>
      </c>
      <c r="P10" s="56">
        <f t="shared" si="0"/>
        <v>1.324292909724913</v>
      </c>
      <c r="Q10" s="64">
        <f t="shared" si="1"/>
        <v>1.3871553540081918</v>
      </c>
      <c r="R10" s="60">
        <v>2581</v>
      </c>
    </row>
    <row r="11" spans="3:18">
      <c r="C11" s="39" t="s">
        <v>185</v>
      </c>
      <c r="D11" s="113"/>
      <c r="E11" s="113"/>
      <c r="F11" s="46">
        <v>72.099999999999994</v>
      </c>
      <c r="G11" s="46">
        <v>1.5369999999999999</v>
      </c>
      <c r="H11" s="46">
        <v>87.608000000000004</v>
      </c>
      <c r="I11" s="49" t="s">
        <v>168</v>
      </c>
      <c r="J11" s="46">
        <v>142</v>
      </c>
      <c r="K11" s="46">
        <v>5.327</v>
      </c>
      <c r="L11" s="46">
        <v>8</v>
      </c>
      <c r="M11" s="46">
        <v>8.7799999999999994</v>
      </c>
      <c r="N11" s="52">
        <f>(M11/L11)-1</f>
        <v>9.749999999999992E-2</v>
      </c>
      <c r="O11" s="46">
        <v>1.8220000000000001</v>
      </c>
      <c r="P11" s="56">
        <f t="shared" si="0"/>
        <v>1.2506403219904867</v>
      </c>
      <c r="Q11" s="64">
        <f t="shared" si="1"/>
        <v>1.4568537156231713</v>
      </c>
      <c r="R11" s="60">
        <v>2733</v>
      </c>
    </row>
    <row r="12" spans="3:18" ht="14.4" thickBot="1">
      <c r="C12" s="40" t="s">
        <v>186</v>
      </c>
      <c r="D12" s="114"/>
      <c r="E12" s="114"/>
      <c r="F12" s="47">
        <v>65</v>
      </c>
      <c r="G12" s="47">
        <v>1.5369999999999999</v>
      </c>
      <c r="H12" s="47">
        <v>87.608000000000004</v>
      </c>
      <c r="I12" s="50" t="s">
        <v>169</v>
      </c>
      <c r="J12" s="47">
        <v>142</v>
      </c>
      <c r="K12" s="47">
        <v>5.274</v>
      </c>
      <c r="L12" s="47">
        <v>8</v>
      </c>
      <c r="M12" s="47">
        <v>8.782</v>
      </c>
      <c r="N12" s="53">
        <f>(M12/L12)-1</f>
        <v>9.7750000000000004E-2</v>
      </c>
      <c r="O12" s="47">
        <v>1.821</v>
      </c>
      <c r="P12" s="57">
        <f t="shared" si="0"/>
        <v>1.1516172506738545</v>
      </c>
      <c r="Q12" s="65">
        <f t="shared" si="1"/>
        <v>1.5812545348156817</v>
      </c>
      <c r="R12" s="62">
        <v>2968</v>
      </c>
    </row>
    <row r="13" spans="3:18" ht="14.4" thickBot="1"/>
    <row r="14" spans="3:18" ht="14.4" thickBot="1">
      <c r="C14" s="41" t="s">
        <v>193</v>
      </c>
      <c r="D14" s="66" t="s">
        <v>191</v>
      </c>
      <c r="E14" s="69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1"/>
    </row>
    <row r="15" spans="3:18" ht="14.4" thickBot="1">
      <c r="C15" s="42" t="s">
        <v>0</v>
      </c>
      <c r="D15" s="42" t="s">
        <v>8</v>
      </c>
      <c r="E15" s="42" t="s">
        <v>9</v>
      </c>
      <c r="F15" s="42" t="s">
        <v>17</v>
      </c>
      <c r="G15" s="42" t="s">
        <v>188</v>
      </c>
      <c r="H15" s="42" t="s">
        <v>10</v>
      </c>
      <c r="I15" s="42" t="s">
        <v>187</v>
      </c>
      <c r="J15" s="42" t="s">
        <v>13</v>
      </c>
      <c r="K15" s="42" t="s">
        <v>18</v>
      </c>
      <c r="L15" s="42" t="s">
        <v>90</v>
      </c>
      <c r="M15" s="42" t="s">
        <v>91</v>
      </c>
      <c r="N15" s="42" t="s">
        <v>92</v>
      </c>
      <c r="O15" s="42" t="s">
        <v>12</v>
      </c>
      <c r="P15" s="54" t="s">
        <v>144</v>
      </c>
      <c r="Q15" s="42" t="s">
        <v>145</v>
      </c>
      <c r="R15" s="58" t="s">
        <v>190</v>
      </c>
    </row>
    <row r="16" spans="3:18">
      <c r="C16" s="38" t="s">
        <v>179</v>
      </c>
      <c r="D16" s="106">
        <v>15</v>
      </c>
      <c r="E16" s="106">
        <v>10.5</v>
      </c>
      <c r="F16" s="43">
        <v>85</v>
      </c>
      <c r="G16" s="48"/>
      <c r="H16" s="72">
        <v>43.804000000000002</v>
      </c>
      <c r="I16" s="48"/>
      <c r="J16" s="48">
        <v>142</v>
      </c>
      <c r="K16" s="48"/>
      <c r="L16" s="48">
        <v>4</v>
      </c>
      <c r="M16" s="48"/>
      <c r="N16" s="51">
        <f>(M16/L16)-1</f>
        <v>-1</v>
      </c>
      <c r="O16" s="48"/>
      <c r="P16" s="55" t="e">
        <f>1000*(3.418/R16)</f>
        <v>#DIV/0!</v>
      </c>
      <c r="Q16" s="63" t="e">
        <f>O16/P16</f>
        <v>#DIV/0!</v>
      </c>
      <c r="R16" s="59"/>
    </row>
    <row r="17" spans="3:23" ht="14.4" thickBot="1">
      <c r="C17" s="40" t="s">
        <v>183</v>
      </c>
      <c r="D17" s="108"/>
      <c r="E17" s="108"/>
      <c r="F17" s="47">
        <v>85</v>
      </c>
      <c r="G17" s="47">
        <v>2.2999999999999998</v>
      </c>
      <c r="H17" s="47">
        <v>87.608000000000004</v>
      </c>
      <c r="I17" s="50" t="s">
        <v>194</v>
      </c>
      <c r="J17" s="47">
        <v>142</v>
      </c>
      <c r="K17" s="47"/>
      <c r="L17" s="45">
        <v>8</v>
      </c>
      <c r="M17" s="47"/>
      <c r="N17" s="53">
        <f t="shared" ref="N17" si="3">(M17/L17)-1</f>
        <v>-1</v>
      </c>
      <c r="O17" s="47"/>
      <c r="P17" s="57" t="e">
        <f>1000*(3.418/R17)</f>
        <v>#DIV/0!</v>
      </c>
      <c r="Q17" s="65" t="e">
        <f>O17/P17</f>
        <v>#DIV/0!</v>
      </c>
      <c r="R17" s="62"/>
    </row>
    <row r="18" spans="3:23" ht="14.4" thickBot="1"/>
    <row r="19" spans="3:23" ht="14.4" thickBot="1">
      <c r="C19" s="41" t="s">
        <v>189</v>
      </c>
      <c r="D19" s="66" t="s">
        <v>191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8"/>
    </row>
    <row r="20" spans="3:23" ht="14.4" thickBot="1">
      <c r="C20" s="42" t="s">
        <v>0</v>
      </c>
      <c r="D20" s="42" t="s">
        <v>8</v>
      </c>
      <c r="E20" s="42" t="s">
        <v>9</v>
      </c>
      <c r="F20" s="42" t="s">
        <v>17</v>
      </c>
      <c r="G20" s="42" t="s">
        <v>188</v>
      </c>
      <c r="H20" s="42" t="s">
        <v>10</v>
      </c>
      <c r="I20" s="42" t="s">
        <v>187</v>
      </c>
      <c r="J20" s="42" t="s">
        <v>13</v>
      </c>
      <c r="K20" s="42" t="s">
        <v>18</v>
      </c>
      <c r="L20" s="42" t="s">
        <v>90</v>
      </c>
      <c r="M20" s="42" t="s">
        <v>91</v>
      </c>
      <c r="N20" s="42" t="s">
        <v>92</v>
      </c>
      <c r="O20" s="42" t="s">
        <v>12</v>
      </c>
      <c r="P20" s="54" t="s">
        <v>144</v>
      </c>
      <c r="Q20" s="42" t="s">
        <v>145</v>
      </c>
      <c r="R20" s="58" t="s">
        <v>190</v>
      </c>
    </row>
    <row r="21" spans="3:23">
      <c r="C21" s="38" t="s">
        <v>179</v>
      </c>
      <c r="D21" s="106">
        <v>15</v>
      </c>
      <c r="E21" s="106">
        <v>10.5</v>
      </c>
      <c r="F21" s="43">
        <v>85</v>
      </c>
      <c r="G21" s="48"/>
      <c r="H21" s="43">
        <v>43.804000000000002</v>
      </c>
      <c r="I21" s="48"/>
      <c r="J21" s="48"/>
      <c r="K21" s="48"/>
      <c r="L21" s="48">
        <v>4</v>
      </c>
      <c r="M21" s="48"/>
      <c r="N21" s="51">
        <f>(M21/L21)-1</f>
        <v>-1</v>
      </c>
      <c r="O21" s="48"/>
      <c r="P21" s="55" t="e">
        <f t="shared" ref="P21:P28" si="4">1000*(3.418/R21)</f>
        <v>#DIV/0!</v>
      </c>
      <c r="Q21" s="63" t="e">
        <f t="shared" ref="Q21:Q28" si="5">O21/P21</f>
        <v>#DIV/0!</v>
      </c>
      <c r="R21" s="59"/>
    </row>
    <row r="22" spans="3:23">
      <c r="C22" s="39" t="s">
        <v>180</v>
      </c>
      <c r="D22" s="107"/>
      <c r="E22" s="107"/>
      <c r="F22" s="46">
        <v>77</v>
      </c>
      <c r="G22" s="46"/>
      <c r="H22" s="44">
        <v>43.804000000000002</v>
      </c>
      <c r="I22" s="49"/>
      <c r="J22" s="46"/>
      <c r="K22" s="46"/>
      <c r="L22" s="44">
        <v>4</v>
      </c>
      <c r="M22" s="46"/>
      <c r="N22" s="52">
        <f t="shared" ref="N22:N24" si="6">(M22/L22)-1</f>
        <v>-1</v>
      </c>
      <c r="O22" s="46"/>
      <c r="P22" s="56" t="e">
        <f t="shared" si="4"/>
        <v>#DIV/0!</v>
      </c>
      <c r="Q22" s="64" t="e">
        <f t="shared" si="5"/>
        <v>#DIV/0!</v>
      </c>
      <c r="R22" s="60"/>
      <c r="W22" t="s">
        <v>192</v>
      </c>
    </row>
    <row r="23" spans="3:23">
      <c r="C23" s="39" t="s">
        <v>181</v>
      </c>
      <c r="D23" s="107"/>
      <c r="E23" s="107"/>
      <c r="F23" s="46">
        <v>72.099999999999994</v>
      </c>
      <c r="G23" s="46"/>
      <c r="H23" s="44">
        <v>43.804000000000002</v>
      </c>
      <c r="I23" s="46"/>
      <c r="J23" s="46"/>
      <c r="K23" s="46"/>
      <c r="L23" s="46">
        <v>4</v>
      </c>
      <c r="M23" s="46"/>
      <c r="N23" s="52">
        <f t="shared" si="6"/>
        <v>-1</v>
      </c>
      <c r="O23" s="46"/>
      <c r="P23" s="56" t="e">
        <f t="shared" si="4"/>
        <v>#DIV/0!</v>
      </c>
      <c r="Q23" s="64" t="e">
        <f t="shared" si="5"/>
        <v>#DIV/0!</v>
      </c>
      <c r="R23" s="60"/>
    </row>
    <row r="24" spans="3:23">
      <c r="C24" s="39" t="s">
        <v>182</v>
      </c>
      <c r="D24" s="107"/>
      <c r="E24" s="107"/>
      <c r="F24" s="46">
        <v>65</v>
      </c>
      <c r="G24" s="44"/>
      <c r="H24" s="44">
        <v>43.804000000000002</v>
      </c>
      <c r="I24" s="44"/>
      <c r="J24" s="46"/>
      <c r="K24" s="44"/>
      <c r="L24" s="44">
        <v>4</v>
      </c>
      <c r="M24" s="44"/>
      <c r="N24" s="52">
        <f t="shared" si="6"/>
        <v>-1</v>
      </c>
      <c r="O24" s="44"/>
      <c r="P24" s="56" t="e">
        <f t="shared" si="4"/>
        <v>#DIV/0!</v>
      </c>
      <c r="Q24" s="64" t="e">
        <f t="shared" si="5"/>
        <v>#DIV/0!</v>
      </c>
      <c r="R24" s="61"/>
    </row>
    <row r="25" spans="3:23">
      <c r="C25" s="39" t="s">
        <v>183</v>
      </c>
      <c r="D25" s="107"/>
      <c r="E25" s="107"/>
      <c r="F25" s="46">
        <v>85</v>
      </c>
      <c r="G25" s="46"/>
      <c r="H25" s="46">
        <v>87.608000000000004</v>
      </c>
      <c r="I25" s="49"/>
      <c r="J25" s="46"/>
      <c r="K25" s="46"/>
      <c r="L25" s="44">
        <v>8</v>
      </c>
      <c r="M25" s="46"/>
      <c r="N25" s="52">
        <f>(M25/L25)-1</f>
        <v>-1</v>
      </c>
      <c r="O25" s="46"/>
      <c r="P25" s="56" t="e">
        <f t="shared" si="4"/>
        <v>#DIV/0!</v>
      </c>
      <c r="Q25" s="64" t="e">
        <f t="shared" si="5"/>
        <v>#DIV/0!</v>
      </c>
      <c r="R25" s="60"/>
    </row>
    <row r="26" spans="3:23">
      <c r="C26" s="39" t="s">
        <v>184</v>
      </c>
      <c r="D26" s="107"/>
      <c r="E26" s="107"/>
      <c r="F26" s="46">
        <v>77</v>
      </c>
      <c r="G26" s="46"/>
      <c r="H26" s="46">
        <v>87.608000000000004</v>
      </c>
      <c r="I26" s="49"/>
      <c r="J26" s="46"/>
      <c r="K26" s="46"/>
      <c r="L26" s="44">
        <v>8</v>
      </c>
      <c r="M26" s="46"/>
      <c r="N26" s="52">
        <f>(M26/L26)-1</f>
        <v>-1</v>
      </c>
      <c r="O26" s="46"/>
      <c r="P26" s="56" t="e">
        <f t="shared" si="4"/>
        <v>#DIV/0!</v>
      </c>
      <c r="Q26" s="64" t="e">
        <f t="shared" si="5"/>
        <v>#DIV/0!</v>
      </c>
      <c r="R26" s="60"/>
    </row>
    <row r="27" spans="3:23">
      <c r="C27" s="39" t="s">
        <v>185</v>
      </c>
      <c r="D27" s="107"/>
      <c r="E27" s="107"/>
      <c r="F27" s="46">
        <v>72.099999999999994</v>
      </c>
      <c r="G27" s="46"/>
      <c r="H27" s="46">
        <v>87.608000000000004</v>
      </c>
      <c r="I27" s="49"/>
      <c r="J27" s="46"/>
      <c r="K27" s="46"/>
      <c r="L27" s="46">
        <v>8</v>
      </c>
      <c r="M27" s="46"/>
      <c r="N27" s="52">
        <f>(M27/L27)-1</f>
        <v>-1</v>
      </c>
      <c r="O27" s="46"/>
      <c r="P27" s="56" t="e">
        <f t="shared" si="4"/>
        <v>#DIV/0!</v>
      </c>
      <c r="Q27" s="64" t="e">
        <f t="shared" si="5"/>
        <v>#DIV/0!</v>
      </c>
      <c r="R27" s="60"/>
    </row>
    <row r="28" spans="3:23" ht="14.4" thickBot="1">
      <c r="C28" s="40" t="s">
        <v>186</v>
      </c>
      <c r="D28" s="108"/>
      <c r="E28" s="108"/>
      <c r="F28" s="47">
        <v>65</v>
      </c>
      <c r="G28" s="47"/>
      <c r="H28" s="47">
        <v>87.608000000000004</v>
      </c>
      <c r="I28" s="50"/>
      <c r="J28" s="47"/>
      <c r="K28" s="47"/>
      <c r="L28" s="47">
        <v>8</v>
      </c>
      <c r="M28" s="47"/>
      <c r="N28" s="53">
        <f>(M28/L28)-1</f>
        <v>-1</v>
      </c>
      <c r="O28" s="47"/>
      <c r="P28" s="57" t="e">
        <f t="shared" si="4"/>
        <v>#DIV/0!</v>
      </c>
      <c r="Q28" s="65" t="e">
        <f t="shared" si="5"/>
        <v>#DIV/0!</v>
      </c>
      <c r="R28" s="62"/>
    </row>
    <row r="31" spans="3:23" ht="14.4" thickBot="1"/>
    <row r="32" spans="3:23" ht="14.4" thickBot="1">
      <c r="C32" s="41" t="s">
        <v>176</v>
      </c>
      <c r="D32" s="109" t="s">
        <v>191</v>
      </c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1"/>
    </row>
    <row r="33" spans="3:24" ht="14.4" thickBot="1">
      <c r="C33" s="42" t="s">
        <v>0</v>
      </c>
      <c r="D33" s="42" t="s">
        <v>8</v>
      </c>
      <c r="E33" s="42" t="s">
        <v>9</v>
      </c>
      <c r="F33" s="42" t="s">
        <v>17</v>
      </c>
      <c r="G33" s="42" t="s">
        <v>188</v>
      </c>
      <c r="H33" s="42" t="s">
        <v>10</v>
      </c>
      <c r="I33" s="42" t="s">
        <v>187</v>
      </c>
      <c r="J33" s="42" t="s">
        <v>13</v>
      </c>
      <c r="K33" s="42" t="s">
        <v>18</v>
      </c>
      <c r="L33" s="42" t="s">
        <v>90</v>
      </c>
      <c r="M33" s="42" t="s">
        <v>91</v>
      </c>
      <c r="N33" s="42" t="s">
        <v>92</v>
      </c>
      <c r="O33" s="42" t="s">
        <v>12</v>
      </c>
      <c r="P33" s="54" t="s">
        <v>144</v>
      </c>
      <c r="Q33" s="42" t="s">
        <v>145</v>
      </c>
      <c r="R33" s="58" t="s">
        <v>88</v>
      </c>
    </row>
    <row r="34" spans="3:24">
      <c r="C34" s="38" t="s">
        <v>179</v>
      </c>
      <c r="D34" s="112">
        <v>15</v>
      </c>
      <c r="E34" s="112">
        <v>10.5</v>
      </c>
      <c r="F34" s="43">
        <v>85</v>
      </c>
      <c r="G34" s="48">
        <v>0.66800000000000004</v>
      </c>
      <c r="H34" s="43">
        <v>43.804000000000002</v>
      </c>
      <c r="I34" s="48" t="s">
        <v>173</v>
      </c>
      <c r="J34" s="48">
        <v>142</v>
      </c>
      <c r="K34" s="48">
        <v>1.39</v>
      </c>
      <c r="L34" s="48">
        <v>4</v>
      </c>
      <c r="M34" s="48">
        <v>4.3920000000000003</v>
      </c>
      <c r="N34" s="51">
        <f>(M34/L34)-1</f>
        <v>9.8000000000000087E-2</v>
      </c>
      <c r="O34" s="48">
        <v>2.5329999999999999</v>
      </c>
      <c r="P34" s="55">
        <f t="shared" ref="P34:P41" si="7">1000*(3.418/R34)</f>
        <v>1.959862385321101</v>
      </c>
      <c r="Q34" s="63">
        <f t="shared" ref="Q34:Q41" si="8">O34/P34</f>
        <v>1.2924376828554709</v>
      </c>
      <c r="R34" s="59">
        <v>1744</v>
      </c>
    </row>
    <row r="35" spans="3:24">
      <c r="C35" s="39" t="s">
        <v>180</v>
      </c>
      <c r="D35" s="113"/>
      <c r="E35" s="113"/>
      <c r="F35" s="46">
        <v>77</v>
      </c>
      <c r="G35" s="46">
        <v>0.66900000000000004</v>
      </c>
      <c r="H35" s="44">
        <v>43.804000000000002</v>
      </c>
      <c r="I35" s="49" t="s">
        <v>174</v>
      </c>
      <c r="J35" s="46">
        <v>142</v>
      </c>
      <c r="K35" s="46">
        <v>0.80700000000000005</v>
      </c>
      <c r="L35" s="44">
        <v>4</v>
      </c>
      <c r="M35" s="46">
        <v>4.3949999999999996</v>
      </c>
      <c r="N35" s="52">
        <f t="shared" ref="N35:N37" si="9">(M35/L35)-1</f>
        <v>9.8749999999999893E-2</v>
      </c>
      <c r="O35" s="46">
        <v>2.5489999999999999</v>
      </c>
      <c r="P35" s="56">
        <f t="shared" si="7"/>
        <v>1.7932843651626442</v>
      </c>
      <c r="Q35" s="64">
        <f t="shared" si="8"/>
        <v>1.4214142773551786</v>
      </c>
      <c r="R35" s="60">
        <v>1906</v>
      </c>
    </row>
    <row r="36" spans="3:24">
      <c r="C36" s="39" t="s">
        <v>181</v>
      </c>
      <c r="D36" s="113"/>
      <c r="E36" s="113"/>
      <c r="F36" s="46">
        <v>72.099999999999994</v>
      </c>
      <c r="G36" s="46">
        <v>0.66900000000000004</v>
      </c>
      <c r="H36" s="44">
        <v>43.804000000000002</v>
      </c>
      <c r="I36" s="46" t="s">
        <v>175</v>
      </c>
      <c r="J36" s="46">
        <v>142</v>
      </c>
      <c r="K36" s="46">
        <v>0.68799999999999994</v>
      </c>
      <c r="L36" s="46">
        <v>4</v>
      </c>
      <c r="M36" s="46">
        <v>4.3970000000000002</v>
      </c>
      <c r="N36" s="52">
        <f t="shared" si="9"/>
        <v>9.925000000000006E-2</v>
      </c>
      <c r="O36" s="46">
        <v>2.5470000000000002</v>
      </c>
      <c r="P36" s="56">
        <f t="shared" si="7"/>
        <v>1.6962779156327545</v>
      </c>
      <c r="Q36" s="64">
        <f t="shared" si="8"/>
        <v>1.5015228203627851</v>
      </c>
      <c r="R36" s="60">
        <v>2015</v>
      </c>
    </row>
    <row r="37" spans="3:24">
      <c r="C37" s="39" t="s">
        <v>182</v>
      </c>
      <c r="D37" s="113"/>
      <c r="E37" s="113"/>
      <c r="F37" s="46">
        <v>65</v>
      </c>
      <c r="G37" s="44">
        <v>0.66800000000000004</v>
      </c>
      <c r="H37" s="44">
        <v>43.804000000000002</v>
      </c>
      <c r="I37" s="44" t="s">
        <v>172</v>
      </c>
      <c r="J37" s="46">
        <v>142</v>
      </c>
      <c r="K37" s="44">
        <v>1.1639999999999999</v>
      </c>
      <c r="L37" s="44">
        <v>4</v>
      </c>
      <c r="M37" s="44">
        <v>4.391</v>
      </c>
      <c r="N37" s="52">
        <f t="shared" si="9"/>
        <v>9.7750000000000004E-2</v>
      </c>
      <c r="O37" s="44">
        <v>2.54</v>
      </c>
      <c r="P37" s="56">
        <f t="shared" si="7"/>
        <v>1.5614435815440841</v>
      </c>
      <c r="Q37" s="64">
        <f t="shared" si="8"/>
        <v>1.6266998244587478</v>
      </c>
      <c r="R37" s="61">
        <v>2189</v>
      </c>
    </row>
    <row r="38" spans="3:24">
      <c r="C38" s="39" t="s">
        <v>183</v>
      </c>
      <c r="D38" s="113"/>
      <c r="E38" s="113"/>
      <c r="F38" s="46">
        <v>85</v>
      </c>
      <c r="G38" s="46">
        <v>1.534</v>
      </c>
      <c r="H38" s="46">
        <v>87.608000000000004</v>
      </c>
      <c r="I38" s="49" t="s">
        <v>171</v>
      </c>
      <c r="J38" s="46">
        <v>142</v>
      </c>
      <c r="K38" s="46">
        <v>5.7679999999999998</v>
      </c>
      <c r="L38" s="44">
        <v>8</v>
      </c>
      <c r="M38" s="46">
        <v>8.7650000000000006</v>
      </c>
      <c r="N38" s="52">
        <f>(M38/L38)-1</f>
        <v>9.5625000000000071E-2</v>
      </c>
      <c r="O38" s="46">
        <v>1.8109999999999999</v>
      </c>
      <c r="P38" s="56">
        <f t="shared" si="7"/>
        <v>1.447078746824725</v>
      </c>
      <c r="Q38" s="64">
        <f t="shared" si="8"/>
        <v>1.2514868344060852</v>
      </c>
      <c r="R38" s="60">
        <v>2362</v>
      </c>
    </row>
    <row r="39" spans="3:24">
      <c r="C39" s="39" t="s">
        <v>184</v>
      </c>
      <c r="D39" s="113"/>
      <c r="E39" s="113"/>
      <c r="F39" s="46">
        <v>77</v>
      </c>
      <c r="G39" s="46">
        <v>1.54</v>
      </c>
      <c r="H39" s="46">
        <v>87.608000000000004</v>
      </c>
      <c r="I39" s="49" t="s">
        <v>170</v>
      </c>
      <c r="J39" s="46">
        <v>142</v>
      </c>
      <c r="K39" s="46">
        <v>4.9029999999999996</v>
      </c>
      <c r="L39" s="44">
        <v>8</v>
      </c>
      <c r="M39" s="46">
        <v>8.7970000000000006</v>
      </c>
      <c r="N39" s="52">
        <f>(M39/L39)-1</f>
        <v>9.9625000000000075E-2</v>
      </c>
      <c r="O39" s="46">
        <v>1.837</v>
      </c>
      <c r="P39" s="56">
        <f t="shared" si="7"/>
        <v>1.324292909724913</v>
      </c>
      <c r="Q39" s="64">
        <f t="shared" si="8"/>
        <v>1.3871553540081918</v>
      </c>
      <c r="R39" s="60">
        <v>2581</v>
      </c>
    </row>
    <row r="40" spans="3:24">
      <c r="C40" s="39" t="s">
        <v>185</v>
      </c>
      <c r="D40" s="113"/>
      <c r="E40" s="113"/>
      <c r="F40" s="46">
        <v>72.099999999999994</v>
      </c>
      <c r="G40" s="46">
        <v>1.5369999999999999</v>
      </c>
      <c r="H40" s="46">
        <v>87.608000000000004</v>
      </c>
      <c r="I40" s="49" t="s">
        <v>168</v>
      </c>
      <c r="J40" s="46">
        <v>142</v>
      </c>
      <c r="K40" s="46">
        <v>5.327</v>
      </c>
      <c r="L40" s="46">
        <v>8</v>
      </c>
      <c r="M40" s="46">
        <v>8.7799999999999994</v>
      </c>
      <c r="N40" s="52">
        <f>(M40/L40)-1</f>
        <v>9.749999999999992E-2</v>
      </c>
      <c r="O40" s="46">
        <v>1.8220000000000001</v>
      </c>
      <c r="P40" s="56">
        <f t="shared" si="7"/>
        <v>1.2506403219904867</v>
      </c>
      <c r="Q40" s="64">
        <f t="shared" si="8"/>
        <v>1.4568537156231713</v>
      </c>
      <c r="R40" s="60">
        <v>2733</v>
      </c>
    </row>
    <row r="41" spans="3:24" ht="14.4" thickBot="1">
      <c r="C41" s="40" t="s">
        <v>186</v>
      </c>
      <c r="D41" s="114"/>
      <c r="E41" s="114"/>
      <c r="F41" s="47">
        <v>65</v>
      </c>
      <c r="G41" s="47">
        <v>1.5369999999999999</v>
      </c>
      <c r="H41" s="47">
        <v>87.608000000000004</v>
      </c>
      <c r="I41" s="50" t="s">
        <v>169</v>
      </c>
      <c r="J41" s="47">
        <v>142</v>
      </c>
      <c r="K41" s="47">
        <v>5.274</v>
      </c>
      <c r="L41" s="47">
        <v>8</v>
      </c>
      <c r="M41" s="47">
        <v>8.782</v>
      </c>
      <c r="N41" s="53">
        <f>(M41/L41)-1</f>
        <v>9.7750000000000004E-2</v>
      </c>
      <c r="O41" s="47">
        <v>1.821</v>
      </c>
      <c r="P41" s="57">
        <f t="shared" si="7"/>
        <v>1.1516172506738545</v>
      </c>
      <c r="Q41" s="65">
        <f t="shared" si="8"/>
        <v>1.5812545348156817</v>
      </c>
      <c r="R41" s="62">
        <v>2968</v>
      </c>
    </row>
    <row r="42" spans="3:24"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</row>
    <row r="43" spans="3:24"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</row>
    <row r="44" spans="3:24" ht="14.4" thickBot="1">
      <c r="H44" t="s">
        <v>192</v>
      </c>
    </row>
    <row r="45" spans="3:24" ht="14.4" thickBot="1">
      <c r="C45" s="41" t="s">
        <v>176</v>
      </c>
      <c r="D45" s="109" t="s">
        <v>199</v>
      </c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1"/>
    </row>
    <row r="46" spans="3:24" ht="14.4" thickBot="1">
      <c r="C46" s="74" t="s">
        <v>0</v>
      </c>
      <c r="D46" s="42" t="s">
        <v>8</v>
      </c>
      <c r="E46" s="74" t="s">
        <v>9</v>
      </c>
      <c r="F46" s="74" t="s">
        <v>17</v>
      </c>
      <c r="G46" s="74" t="s">
        <v>188</v>
      </c>
      <c r="H46" s="74" t="s">
        <v>10</v>
      </c>
      <c r="I46" s="74" t="s">
        <v>187</v>
      </c>
      <c r="J46" s="74" t="s">
        <v>13</v>
      </c>
      <c r="K46" s="74" t="s">
        <v>18</v>
      </c>
      <c r="L46" s="74" t="s">
        <v>90</v>
      </c>
      <c r="M46" s="74" t="s">
        <v>91</v>
      </c>
      <c r="N46" s="74" t="s">
        <v>92</v>
      </c>
      <c r="O46" s="74" t="s">
        <v>12</v>
      </c>
      <c r="P46" s="75" t="s">
        <v>144</v>
      </c>
      <c r="Q46" s="74" t="s">
        <v>145</v>
      </c>
      <c r="R46" s="76" t="s">
        <v>88</v>
      </c>
      <c r="X46" t="s">
        <v>192</v>
      </c>
    </row>
    <row r="47" spans="3:24">
      <c r="C47" s="77" t="s">
        <v>204</v>
      </c>
      <c r="D47" s="118">
        <v>10</v>
      </c>
      <c r="E47" s="106">
        <v>10.5</v>
      </c>
      <c r="F47" s="80">
        <v>85</v>
      </c>
      <c r="G47" s="80">
        <v>0.65200000000000002</v>
      </c>
      <c r="H47" s="80">
        <v>58.555999999999997</v>
      </c>
      <c r="I47" s="80" t="s">
        <v>203</v>
      </c>
      <c r="J47" s="80">
        <v>220</v>
      </c>
      <c r="K47" s="80">
        <v>0.44</v>
      </c>
      <c r="L47" s="80">
        <v>2.72</v>
      </c>
      <c r="M47" s="80">
        <v>2.992</v>
      </c>
      <c r="N47" s="84">
        <f t="shared" ref="N47:N49" si="10">(M47/L47)-1</f>
        <v>9.9999999999999867E-2</v>
      </c>
      <c r="O47" s="80">
        <v>4.3310000000000004</v>
      </c>
      <c r="P47" s="83">
        <f t="shared" ref="P47:P49" si="11">1000*(3.418/R47)</f>
        <v>2.2296151337247232</v>
      </c>
      <c r="Q47" s="82">
        <f t="shared" ref="Q47:Q49" si="12">O47/P47</f>
        <v>1.9424877121123463</v>
      </c>
      <c r="R47" s="80">
        <v>1533</v>
      </c>
    </row>
    <row r="48" spans="3:24">
      <c r="C48" s="78" t="s">
        <v>205</v>
      </c>
      <c r="D48" s="119"/>
      <c r="E48" s="107"/>
      <c r="F48" s="46">
        <v>77</v>
      </c>
      <c r="G48" s="46">
        <v>0.65100000000000002</v>
      </c>
      <c r="H48" s="43">
        <v>58.555999999999997</v>
      </c>
      <c r="I48" s="46" t="s">
        <v>202</v>
      </c>
      <c r="J48" s="46">
        <v>220</v>
      </c>
      <c r="K48" s="46">
        <v>1.032</v>
      </c>
      <c r="L48" s="46">
        <v>2.72</v>
      </c>
      <c r="M48" s="46">
        <v>2.988</v>
      </c>
      <c r="N48" s="51">
        <f t="shared" si="10"/>
        <v>9.8529411764705754E-2</v>
      </c>
      <c r="O48" s="46">
        <v>4.319</v>
      </c>
      <c r="P48" s="55">
        <f t="shared" si="11"/>
        <v>2.0442583732057416</v>
      </c>
      <c r="Q48" s="63">
        <f t="shared" si="12"/>
        <v>2.1127466354593332</v>
      </c>
      <c r="R48" s="46">
        <v>1672</v>
      </c>
    </row>
    <row r="49" spans="3:18">
      <c r="C49" s="78" t="s">
        <v>206</v>
      </c>
      <c r="D49" s="119"/>
      <c r="E49" s="107"/>
      <c r="F49" s="46">
        <v>72.099999999999994</v>
      </c>
      <c r="G49" s="46">
        <v>0.65100000000000002</v>
      </c>
      <c r="H49" s="43">
        <v>58.555999999999997</v>
      </c>
      <c r="I49" s="46" t="s">
        <v>201</v>
      </c>
      <c r="J49" s="46">
        <v>220</v>
      </c>
      <c r="K49" s="46">
        <v>1.19</v>
      </c>
      <c r="L49" s="46">
        <v>2.72</v>
      </c>
      <c r="M49" s="46">
        <v>2.9889999999999999</v>
      </c>
      <c r="N49" s="51">
        <f t="shared" si="10"/>
        <v>9.8897058823529393E-2</v>
      </c>
      <c r="O49" s="46">
        <v>4.3099999999999996</v>
      </c>
      <c r="P49" s="55">
        <f t="shared" si="11"/>
        <v>1.937641723356009</v>
      </c>
      <c r="Q49" s="63">
        <f t="shared" si="12"/>
        <v>2.2243534230544175</v>
      </c>
      <c r="R49" s="46">
        <v>1764</v>
      </c>
    </row>
    <row r="50" spans="3:18">
      <c r="C50" s="38" t="s">
        <v>207</v>
      </c>
      <c r="D50" s="119"/>
      <c r="E50" s="107"/>
      <c r="F50" s="43">
        <v>65</v>
      </c>
      <c r="G50" s="48">
        <v>0.65200000000000002</v>
      </c>
      <c r="H50" s="43">
        <v>58.555999999999997</v>
      </c>
      <c r="I50" s="48" t="s">
        <v>198</v>
      </c>
      <c r="J50" s="48">
        <v>220</v>
      </c>
      <c r="K50" s="48">
        <v>0.70599999999999996</v>
      </c>
      <c r="L50" s="48">
        <v>2.72</v>
      </c>
      <c r="M50" s="48">
        <v>2.9910000000000001</v>
      </c>
      <c r="N50" s="51">
        <f>(M50/L50)-1</f>
        <v>9.963235294117645E-2</v>
      </c>
      <c r="O50" s="48">
        <v>4.3280000000000003</v>
      </c>
      <c r="P50" s="55">
        <f t="shared" ref="P50:P57" si="13">1000*(3.418/R50)</f>
        <v>1.7904662126767943</v>
      </c>
      <c r="Q50" s="63">
        <f t="shared" ref="Q50:Q57" si="14">O50/P50</f>
        <v>2.4172475131655937</v>
      </c>
      <c r="R50" s="48">
        <v>1909</v>
      </c>
    </row>
    <row r="51" spans="3:18">
      <c r="C51" s="39" t="s">
        <v>208</v>
      </c>
      <c r="D51" s="119"/>
      <c r="E51" s="107"/>
      <c r="F51" s="46">
        <v>60</v>
      </c>
      <c r="G51" s="46">
        <v>0.65</v>
      </c>
      <c r="H51" s="44">
        <v>58.555999999999997</v>
      </c>
      <c r="I51" s="49" t="s">
        <v>197</v>
      </c>
      <c r="J51" s="46">
        <v>220</v>
      </c>
      <c r="K51" s="46">
        <v>1.8</v>
      </c>
      <c r="L51" s="44">
        <v>2.72</v>
      </c>
      <c r="M51" s="46">
        <v>2.9830000000000001</v>
      </c>
      <c r="N51" s="52">
        <f t="shared" ref="N51:N53" si="15">(M51/L51)-1</f>
        <v>9.6691176470588225E-2</v>
      </c>
      <c r="O51" s="46">
        <v>4.2889999999999997</v>
      </c>
      <c r="P51" s="56">
        <f t="shared" si="13"/>
        <v>1.6912419594260266</v>
      </c>
      <c r="Q51" s="64">
        <f t="shared" si="14"/>
        <v>2.5360061439438266</v>
      </c>
      <c r="R51" s="46">
        <v>2021</v>
      </c>
    </row>
    <row r="52" spans="3:18">
      <c r="C52" s="39" t="s">
        <v>209</v>
      </c>
      <c r="D52" s="119"/>
      <c r="E52" s="107"/>
      <c r="F52" s="46">
        <v>55</v>
      </c>
      <c r="G52" s="79">
        <v>0.65</v>
      </c>
      <c r="H52" s="44">
        <v>58.555999999999997</v>
      </c>
      <c r="I52" s="46" t="s">
        <v>196</v>
      </c>
      <c r="J52" s="46">
        <v>220</v>
      </c>
      <c r="K52" s="46">
        <v>2.1560000000000001</v>
      </c>
      <c r="L52" s="46">
        <v>2.72</v>
      </c>
      <c r="M52" s="46">
        <v>2.9809999999999999</v>
      </c>
      <c r="N52" s="52">
        <f t="shared" si="15"/>
        <v>9.5955882352940947E-2</v>
      </c>
      <c r="O52" s="46">
        <v>4.274</v>
      </c>
      <c r="P52" s="56">
        <f t="shared" si="13"/>
        <v>1.599438465138044</v>
      </c>
      <c r="Q52" s="64">
        <f t="shared" si="14"/>
        <v>2.672187829139848</v>
      </c>
      <c r="R52" s="46">
        <v>2137</v>
      </c>
    </row>
    <row r="53" spans="3:18" ht="14.4" thickBot="1">
      <c r="C53" s="40" t="s">
        <v>210</v>
      </c>
      <c r="D53" s="120"/>
      <c r="E53" s="107"/>
      <c r="F53" s="47">
        <v>50</v>
      </c>
      <c r="G53" s="45">
        <v>0.65100000000000002</v>
      </c>
      <c r="H53" s="45">
        <v>58.555999999999997</v>
      </c>
      <c r="I53" s="45" t="s">
        <v>195</v>
      </c>
      <c r="J53" s="47">
        <v>220</v>
      </c>
      <c r="K53" s="45">
        <v>1.0129999999999999</v>
      </c>
      <c r="L53" s="45">
        <v>2.72</v>
      </c>
      <c r="M53" s="45">
        <v>2.988</v>
      </c>
      <c r="N53" s="53">
        <f t="shared" si="15"/>
        <v>9.8529411764705754E-2</v>
      </c>
      <c r="O53" s="45">
        <v>4.319</v>
      </c>
      <c r="P53" s="57">
        <f t="shared" si="13"/>
        <v>1.5164152617568767</v>
      </c>
      <c r="Q53" s="65">
        <f t="shared" si="14"/>
        <v>2.8481644236395551</v>
      </c>
      <c r="R53" s="45">
        <v>2254</v>
      </c>
    </row>
    <row r="54" spans="3:18">
      <c r="C54" s="38" t="s">
        <v>214</v>
      </c>
      <c r="D54" s="121">
        <v>18</v>
      </c>
      <c r="E54" s="107"/>
      <c r="F54" s="48">
        <v>65</v>
      </c>
      <c r="G54" s="48">
        <v>0.83</v>
      </c>
      <c r="H54" s="48">
        <v>45.011000000000003</v>
      </c>
      <c r="I54" s="81" t="s">
        <v>200</v>
      </c>
      <c r="J54" s="48">
        <v>108</v>
      </c>
      <c r="K54" s="48">
        <v>1.71</v>
      </c>
      <c r="L54" s="43">
        <v>5.57</v>
      </c>
      <c r="M54" s="48">
        <v>6.125</v>
      </c>
      <c r="N54" s="51">
        <f>(M54/L54)-1</f>
        <v>9.9640933572710866E-2</v>
      </c>
      <c r="O54" s="48">
        <v>2.0259999999999998</v>
      </c>
      <c r="P54" s="55">
        <f t="shared" si="13"/>
        <v>1.4077429983525536</v>
      </c>
      <c r="Q54" s="63">
        <f t="shared" si="14"/>
        <v>1.4391831480397892</v>
      </c>
      <c r="R54" s="48">
        <v>2428</v>
      </c>
    </row>
    <row r="55" spans="3:18">
      <c r="C55" s="39" t="s">
        <v>211</v>
      </c>
      <c r="D55" s="121"/>
      <c r="E55" s="107"/>
      <c r="F55" s="46">
        <v>60</v>
      </c>
      <c r="G55" s="46">
        <v>0.83</v>
      </c>
      <c r="H55" s="46">
        <v>45.011000000000003</v>
      </c>
      <c r="I55" s="49" t="s">
        <v>197</v>
      </c>
      <c r="J55" s="46">
        <v>108</v>
      </c>
      <c r="K55" s="46">
        <v>1.752</v>
      </c>
      <c r="L55" s="44">
        <v>5.57</v>
      </c>
      <c r="M55" s="46">
        <v>6.1239999999999997</v>
      </c>
      <c r="N55" s="52">
        <f>(M55/L55)-1</f>
        <v>9.9461400359066365E-2</v>
      </c>
      <c r="O55" s="46">
        <v>2.0270000000000001</v>
      </c>
      <c r="P55" s="56">
        <f t="shared" si="13"/>
        <v>1.3253198914307871</v>
      </c>
      <c r="Q55" s="64">
        <f t="shared" si="14"/>
        <v>1.529442071386776</v>
      </c>
      <c r="R55" s="46">
        <v>2579</v>
      </c>
    </row>
    <row r="56" spans="3:18">
      <c r="C56" s="39" t="s">
        <v>212</v>
      </c>
      <c r="D56" s="121"/>
      <c r="E56" s="107"/>
      <c r="F56" s="46">
        <v>55</v>
      </c>
      <c r="G56" s="46">
        <v>0.82899999999999996</v>
      </c>
      <c r="H56" s="46">
        <v>45.011000000000003</v>
      </c>
      <c r="I56" s="49" t="s">
        <v>196</v>
      </c>
      <c r="J56" s="46">
        <v>108</v>
      </c>
      <c r="K56" s="46">
        <v>2.1280000000000001</v>
      </c>
      <c r="L56" s="46">
        <v>5.57</v>
      </c>
      <c r="M56" s="46">
        <v>6.1139999999999999</v>
      </c>
      <c r="N56" s="52">
        <f>(M56/L56)-1</f>
        <v>9.7666068222621139E-2</v>
      </c>
      <c r="O56" s="46">
        <v>2.0209999999999999</v>
      </c>
      <c r="P56" s="56">
        <f t="shared" si="13"/>
        <v>1.2469901495804452</v>
      </c>
      <c r="Q56" s="64">
        <f t="shared" si="14"/>
        <v>1.6207024575775306</v>
      </c>
      <c r="R56" s="46">
        <v>2741</v>
      </c>
    </row>
    <row r="57" spans="3:18" ht="14.4" thickBot="1">
      <c r="C57" s="40" t="s">
        <v>213</v>
      </c>
      <c r="D57" s="122"/>
      <c r="E57" s="108"/>
      <c r="F57" s="47">
        <v>50</v>
      </c>
      <c r="G57" s="47">
        <v>0.83099999999999996</v>
      </c>
      <c r="H57" s="47">
        <v>45.011000000000003</v>
      </c>
      <c r="I57" s="50" t="s">
        <v>195</v>
      </c>
      <c r="J57" s="47">
        <v>108</v>
      </c>
      <c r="K57" s="47">
        <v>1.3839999999999999</v>
      </c>
      <c r="L57" s="47">
        <v>5.57</v>
      </c>
      <c r="M57" s="47">
        <v>6.1260000000000003</v>
      </c>
      <c r="N57" s="53">
        <f>(M57/L57)-1</f>
        <v>9.9820466786355588E-2</v>
      </c>
      <c r="O57" s="47">
        <v>2.0299999999999998</v>
      </c>
      <c r="P57" s="57">
        <f t="shared" si="13"/>
        <v>1.1765920826161791</v>
      </c>
      <c r="Q57" s="65">
        <f t="shared" si="14"/>
        <v>1.7253218256290226</v>
      </c>
      <c r="R57" s="47">
        <v>2905</v>
      </c>
    </row>
    <row r="86" spans="3:18">
      <c r="I86" t="s">
        <v>192</v>
      </c>
    </row>
    <row r="92" spans="3:18" ht="14.4" thickBot="1"/>
    <row r="93" spans="3:18" ht="14.4" thickBot="1">
      <c r="C93" s="41" t="s">
        <v>193</v>
      </c>
      <c r="D93" s="115" t="s">
        <v>191</v>
      </c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7"/>
      <c r="P93" s="87"/>
      <c r="Q93" s="87"/>
      <c r="R93" s="87"/>
    </row>
    <row r="94" spans="3:18" ht="14.4" thickBot="1">
      <c r="C94" s="42" t="s">
        <v>0</v>
      </c>
      <c r="D94" s="42" t="s">
        <v>8</v>
      </c>
      <c r="E94" s="42" t="s">
        <v>9</v>
      </c>
      <c r="F94" s="74" t="s">
        <v>17</v>
      </c>
      <c r="G94" s="74" t="s">
        <v>188</v>
      </c>
      <c r="H94" s="74" t="s">
        <v>10</v>
      </c>
      <c r="I94" s="74" t="s">
        <v>187</v>
      </c>
      <c r="J94" s="74" t="s">
        <v>13</v>
      </c>
      <c r="K94" s="74" t="s">
        <v>18</v>
      </c>
      <c r="L94" s="74" t="s">
        <v>90</v>
      </c>
      <c r="M94" s="74" t="s">
        <v>92</v>
      </c>
      <c r="N94" s="74" t="s">
        <v>215</v>
      </c>
      <c r="O94" s="74" t="s">
        <v>190</v>
      </c>
      <c r="P94" s="90"/>
      <c r="Q94" s="91"/>
    </row>
    <row r="95" spans="3:18">
      <c r="C95" s="38" t="s">
        <v>179</v>
      </c>
      <c r="D95" s="106">
        <v>15</v>
      </c>
      <c r="E95" s="106">
        <v>10.5</v>
      </c>
      <c r="F95" s="72">
        <v>85</v>
      </c>
      <c r="G95" s="80">
        <v>0.91</v>
      </c>
      <c r="H95" s="72">
        <v>43.804000000000002</v>
      </c>
      <c r="I95" s="80" t="s">
        <v>216</v>
      </c>
      <c r="J95" s="80">
        <v>140</v>
      </c>
      <c r="K95" s="80">
        <v>2.3370000000000002</v>
      </c>
      <c r="L95" s="80">
        <v>4</v>
      </c>
      <c r="M95" s="84">
        <v>0.10800999999999999</v>
      </c>
      <c r="N95" s="80">
        <v>0.22</v>
      </c>
      <c r="O95" s="80">
        <v>3535</v>
      </c>
      <c r="P95" s="88"/>
      <c r="Q95" s="89"/>
    </row>
    <row r="96" spans="3:18" ht="14.4" thickBot="1">
      <c r="C96" s="40" t="s">
        <v>182</v>
      </c>
      <c r="D96" s="107"/>
      <c r="E96" s="107"/>
      <c r="F96" s="47">
        <v>65</v>
      </c>
      <c r="G96" s="47">
        <v>0.91</v>
      </c>
      <c r="H96" s="85">
        <v>43.804000000000002</v>
      </c>
      <c r="I96" s="50" t="s">
        <v>217</v>
      </c>
      <c r="J96" s="47">
        <v>140</v>
      </c>
      <c r="K96" s="47">
        <v>3.226</v>
      </c>
      <c r="L96" s="85">
        <v>4</v>
      </c>
      <c r="M96" s="53">
        <v>7.8310000000000005E-2</v>
      </c>
      <c r="N96" s="47">
        <v>0.15</v>
      </c>
      <c r="O96" s="47">
        <v>4950</v>
      </c>
      <c r="P96" s="88"/>
      <c r="Q96" s="89"/>
    </row>
    <row r="97" spans="3:15">
      <c r="C97" s="38" t="s">
        <v>183</v>
      </c>
      <c r="D97" s="107"/>
      <c r="E97" s="107"/>
      <c r="F97" s="80">
        <v>85</v>
      </c>
      <c r="G97" s="80">
        <v>2.1800000000000002</v>
      </c>
      <c r="H97" s="80">
        <v>87.608000000000004</v>
      </c>
      <c r="I97" s="80" t="s">
        <v>218</v>
      </c>
      <c r="J97" s="80">
        <v>140</v>
      </c>
      <c r="K97" s="80">
        <v>3.629</v>
      </c>
      <c r="L97" s="80">
        <v>8</v>
      </c>
      <c r="M97" s="92">
        <v>0.15565000000000001</v>
      </c>
      <c r="N97" s="80">
        <v>0.15</v>
      </c>
      <c r="O97" s="80">
        <v>5000</v>
      </c>
    </row>
    <row r="98" spans="3:15" ht="14.4" thickBot="1">
      <c r="C98" s="40" t="s">
        <v>186</v>
      </c>
      <c r="D98" s="108"/>
      <c r="E98" s="108"/>
      <c r="F98" s="47">
        <v>65</v>
      </c>
      <c r="G98" s="47">
        <v>2.1800000000000002</v>
      </c>
      <c r="H98" s="47">
        <v>87.608000000000004</v>
      </c>
      <c r="I98" s="47" t="s">
        <v>219</v>
      </c>
      <c r="J98" s="47">
        <v>140</v>
      </c>
      <c r="K98" s="47">
        <v>3.5350000000000001</v>
      </c>
      <c r="L98" s="47">
        <v>8</v>
      </c>
      <c r="M98" s="93">
        <v>9.5850000000000005E-2</v>
      </c>
      <c r="N98" s="47">
        <v>0.12</v>
      </c>
      <c r="O98" s="47">
        <v>6950</v>
      </c>
    </row>
  </sheetData>
  <mergeCells count="17">
    <mergeCell ref="D95:D98"/>
    <mergeCell ref="E95:E98"/>
    <mergeCell ref="D93:O93"/>
    <mergeCell ref="D32:R32"/>
    <mergeCell ref="D34:D41"/>
    <mergeCell ref="E34:E41"/>
    <mergeCell ref="D47:D53"/>
    <mergeCell ref="D54:D57"/>
    <mergeCell ref="E47:E57"/>
    <mergeCell ref="D45:R45"/>
    <mergeCell ref="D21:D28"/>
    <mergeCell ref="E21:E28"/>
    <mergeCell ref="D16:D17"/>
    <mergeCell ref="E16:E17"/>
    <mergeCell ref="D3:R3"/>
    <mergeCell ref="D5:D12"/>
    <mergeCell ref="E5:E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Jaiden Hodson</dc:creator>
  <cp:lastModifiedBy>jaiden hodson</cp:lastModifiedBy>
  <dcterms:created xsi:type="dcterms:W3CDTF">2025-01-24T03:23:22Z</dcterms:created>
  <dcterms:modified xsi:type="dcterms:W3CDTF">2025-06-08T12:28:40Z</dcterms:modified>
</cp:coreProperties>
</file>